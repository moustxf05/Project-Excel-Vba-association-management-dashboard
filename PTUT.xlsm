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ink/ink1.xml" ContentType="application/inkml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12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encasanova\Downloads\"/>
    </mc:Choice>
  </mc:AlternateContent>
  <xr:revisionPtr revIDLastSave="0" documentId="8_{58A0CDA7-0C53-4D7F-A16A-9279BCDF9BD3}" xr6:coauthVersionLast="47" xr6:coauthVersionMax="47" xr10:uidLastSave="{00000000-0000-0000-0000-000000000000}"/>
  <bookViews>
    <workbookView xWindow="-120" yWindow="-120" windowWidth="29040" windowHeight="15720" firstSheet="5" activeTab="5" xr2:uid="{00000000-000D-0000-FFFF-FFFF00000000}"/>
  </bookViews>
  <sheets>
    <sheet name="Données" sheetId="15" r:id="rId1"/>
    <sheet name="Listes activités" sheetId="1" r:id="rId2"/>
    <sheet name="Listes financières" sheetId="3" r:id="rId3"/>
    <sheet name="Inscription" sheetId="4" r:id="rId4"/>
    <sheet name="Statistiques activités finances" sheetId="5" r:id="rId5"/>
    <sheet name="Facture" sheetId="14" r:id="rId6"/>
    <sheet name="Activité et catégories adhérent" sheetId="7" r:id="rId7"/>
    <sheet name="Feuil1" sheetId="11" state="hidden" r:id="rId8"/>
    <sheet name="Feuil2" sheetId="13" state="hidden" r:id="rId9"/>
  </sheets>
  <definedNames>
    <definedName name="_xlnm._FilterDatabase" localSheetId="0" hidden="1">Données!$A$5:$N$10</definedName>
    <definedName name="print_facture">Facture!$C$8:$H$70</definedName>
    <definedName name="_xlnm.Print_Area" localSheetId="5">Facture!$C$8:$H$70</definedName>
  </definedNames>
  <calcPr calcId="191028"/>
  <pivotCaches>
    <pivotCache cacheId="357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5" i="14" l="1"/>
  <c r="D36" i="14" s="1"/>
  <c r="D37" i="14" s="1"/>
  <c r="D38" i="14" s="1"/>
  <c r="D39" i="14" s="1"/>
  <c r="D40" i="14" s="1"/>
  <c r="C22" i="14"/>
  <c r="C24" i="14"/>
  <c r="C20" i="14"/>
  <c r="J6" i="4"/>
  <c r="J8" i="4"/>
  <c r="C34" i="14" s="1"/>
  <c r="J7" i="4" l="1"/>
  <c r="H40" i="14" s="1"/>
  <c r="D41" i="14"/>
  <c r="H41" i="14" s="1"/>
  <c r="C35" i="14"/>
  <c r="C36" i="14" s="1"/>
  <c r="C37" i="14" s="1"/>
  <c r="C38" i="14" s="1"/>
  <c r="C39" i="14" s="1"/>
  <c r="C40" i="14" s="1"/>
  <c r="H35" i="14" l="1"/>
  <c r="H36" i="14"/>
  <c r="H37" i="14"/>
  <c r="H38" i="14"/>
  <c r="H39" i="14"/>
  <c r="C41" i="14"/>
  <c r="D42" i="14"/>
  <c r="H42" i="14" s="1"/>
  <c r="C42" i="14" l="1"/>
  <c r="D43" i="14"/>
  <c r="H43" i="14" s="1"/>
  <c r="C43" i="14" l="1"/>
  <c r="D44" i="14"/>
  <c r="H44" i="14" s="1"/>
  <c r="C44" i="14" l="1"/>
  <c r="D45" i="14"/>
  <c r="H45" i="14" s="1"/>
  <c r="C45" i="14" l="1"/>
  <c r="D46" i="14"/>
  <c r="C46" i="14" l="1"/>
  <c r="H46" i="14"/>
  <c r="H34" i="14" s="1"/>
  <c r="H47" i="14" s="1"/>
</calcChain>
</file>

<file path=xl/sharedStrings.xml><?xml version="1.0" encoding="utf-8"?>
<sst xmlns="http://schemas.openxmlformats.org/spreadsheetml/2006/main" count="584" uniqueCount="214">
  <si>
    <t>DONNÉES ADHÉRANTS</t>
  </si>
  <si>
    <t>Nom</t>
  </si>
  <si>
    <t>Prénom</t>
  </si>
  <si>
    <t>Email</t>
  </si>
  <si>
    <t>Téléphone</t>
  </si>
  <si>
    <t>Cours</t>
  </si>
  <si>
    <t>Niveau</t>
  </si>
  <si>
    <t>Rôle</t>
  </si>
  <si>
    <t>Nombre de cours (semaine)</t>
  </si>
  <si>
    <t>Prix</t>
  </si>
  <si>
    <t>Solde</t>
  </si>
  <si>
    <t>Mode_paiement</t>
  </si>
  <si>
    <t>Échéances</t>
  </si>
  <si>
    <t>Date d'inscription</t>
  </si>
  <si>
    <t>Date paiement final</t>
  </si>
  <si>
    <t>Jacquot</t>
  </si>
  <si>
    <t>Geneviève</t>
  </si>
  <si>
    <t>jacquotgenevieve@example.org</t>
  </si>
  <si>
    <t>06 19 96 52 20</t>
  </si>
  <si>
    <t>Rock</t>
  </si>
  <si>
    <t>Débutant</t>
  </si>
  <si>
    <t>Leader</t>
  </si>
  <si>
    <t>Espèces</t>
  </si>
  <si>
    <t>Masse</t>
  </si>
  <si>
    <t>Thierry</t>
  </si>
  <si>
    <t>thierry41@example.net</t>
  </si>
  <si>
    <t>06 16 40 77 55</t>
  </si>
  <si>
    <t>Follower</t>
  </si>
  <si>
    <t>Chèque</t>
  </si>
  <si>
    <t>Lebrun</t>
  </si>
  <si>
    <t>Colette</t>
  </si>
  <si>
    <t>colette.lebrun@example.net</t>
  </si>
  <si>
    <t>04 44 42 18 85</t>
  </si>
  <si>
    <t>Gillet</t>
  </si>
  <si>
    <t>Bertrand</t>
  </si>
  <si>
    <t>bertrand.gillet@example.com</t>
  </si>
  <si>
    <t>04 68 89 12 14</t>
  </si>
  <si>
    <t>Sauvage</t>
  </si>
  <si>
    <t>Émile</t>
  </si>
  <si>
    <t>emilesauvage@example.net</t>
  </si>
  <si>
    <t>07 62 58 24 25</t>
  </si>
  <si>
    <t>Salsa</t>
  </si>
  <si>
    <t>Intermédiaire</t>
  </si>
  <si>
    <t>CB</t>
  </si>
  <si>
    <t>Guillon</t>
  </si>
  <si>
    <t>Gabriel</t>
  </si>
  <si>
    <t>gabrielguillon@example.org</t>
  </si>
  <si>
    <t>06 02 43 23 40</t>
  </si>
  <si>
    <t>Virement</t>
  </si>
  <si>
    <t>Maréchal</t>
  </si>
  <si>
    <t>Victor</t>
  </si>
  <si>
    <t>victor.marechal@example.net</t>
  </si>
  <si>
    <t>07 93 20 34 12</t>
  </si>
  <si>
    <t>Evrard</t>
  </si>
  <si>
    <t>Agathe</t>
  </si>
  <si>
    <t>agathe.evrard@example.org</t>
  </si>
  <si>
    <t>06 46 51 33 20</t>
  </si>
  <si>
    <t>Moreau</t>
  </si>
  <si>
    <t>Camille</t>
  </si>
  <si>
    <t>camille.moreau@example.com</t>
  </si>
  <si>
    <t>06 75 33 89 12</t>
  </si>
  <si>
    <t>Lefèvre</t>
  </si>
  <si>
    <t>Lucas</t>
  </si>
  <si>
    <t>lucas.lefevre@example.net</t>
  </si>
  <si>
    <t>07 81 45 66 33</t>
  </si>
  <si>
    <t>Bernard</t>
  </si>
  <si>
    <t>Sophie</t>
  </si>
  <si>
    <t>sophie.bernard@example.org</t>
  </si>
  <si>
    <t>06 34 56 78 90</t>
  </si>
  <si>
    <t>Dubois</t>
  </si>
  <si>
    <t>Antoine</t>
  </si>
  <si>
    <t>antoine.dubois@example.com</t>
  </si>
  <si>
    <t>07 23 45 67 89</t>
  </si>
  <si>
    <t>Laurent</t>
  </si>
  <si>
    <t>Manon</t>
  </si>
  <si>
    <t>manon.laurent@example.net</t>
  </si>
  <si>
    <t>06 89 34 56 78</t>
  </si>
  <si>
    <t>Petit</t>
  </si>
  <si>
    <t>Julien</t>
  </si>
  <si>
    <t>julien.petit@example.org</t>
  </si>
  <si>
    <t>07 45 67 89 01</t>
  </si>
  <si>
    <t>Rousseau</t>
  </si>
  <si>
    <t>Emma</t>
  </si>
  <si>
    <t>emma.rousseau@example.com</t>
  </si>
  <si>
    <t>06 55 44 33 22</t>
  </si>
  <si>
    <t>Martin</t>
  </si>
  <si>
    <t>Louis</t>
  </si>
  <si>
    <t>louis.martin@example.net</t>
  </si>
  <si>
    <t>06 12 34 56 78</t>
  </si>
  <si>
    <t>Durand</t>
  </si>
  <si>
    <t>Chloé</t>
  </si>
  <si>
    <t>chloe.durand@example.org</t>
  </si>
  <si>
    <t>07 87 65 43 21</t>
  </si>
  <si>
    <t>Leroy</t>
  </si>
  <si>
    <t>Marie</t>
  </si>
  <si>
    <t>marie.leroy@example.com</t>
  </si>
  <si>
    <t>06 44 55 66 77</t>
  </si>
  <si>
    <t>Lambert</t>
  </si>
  <si>
    <t>Hugo</t>
  </si>
  <si>
    <t>hugo.lambert@example.net</t>
  </si>
  <si>
    <t>07 22 33 44 55</t>
  </si>
  <si>
    <t>Faure</t>
  </si>
  <si>
    <t>Clara</t>
  </si>
  <si>
    <t>clara.faure@example.org</t>
  </si>
  <si>
    <t>06 99 88 77 66</t>
  </si>
  <si>
    <t>Blanc</t>
  </si>
  <si>
    <t>Nathan</t>
  </si>
  <si>
    <t>nathan.blanc@example.com</t>
  </si>
  <si>
    <t>07 77 66 55 44</t>
  </si>
  <si>
    <t>Girard</t>
  </si>
  <si>
    <t>Léa</t>
  </si>
  <si>
    <t>lea.girard@example.net</t>
  </si>
  <si>
    <t>06 66 55 44 33</t>
  </si>
  <si>
    <t>Bonnet</t>
  </si>
  <si>
    <t>Tom</t>
  </si>
  <si>
    <t>tom.bonnet@example.org</t>
  </si>
  <si>
    <t>07 55 44 33 22</t>
  </si>
  <si>
    <t>François</t>
  </si>
  <si>
    <t>Anaïs</t>
  </si>
  <si>
    <t>anais.francois@example.com</t>
  </si>
  <si>
    <t>06 44 33 22 11</t>
  </si>
  <si>
    <t>Jules</t>
  </si>
  <si>
    <t>jules.moreau@example.net</t>
  </si>
  <si>
    <t>07 33 22 11 00</t>
  </si>
  <si>
    <t>emma.girard@example.org</t>
  </si>
  <si>
    <t>06 22 11 00 99</t>
  </si>
  <si>
    <t>lucas.lefevre@example.com</t>
  </si>
  <si>
    <t>07 11 00 99 88</t>
  </si>
  <si>
    <t>Zoé</t>
  </si>
  <si>
    <t>zoe.martin@example.net</t>
  </si>
  <si>
    <t>hugo.bernard@example.org</t>
  </si>
  <si>
    <t>07 88 77 66 55</t>
  </si>
  <si>
    <t>camille.dubois@example.com</t>
  </si>
  <si>
    <t>06 77 66 55 44</t>
  </si>
  <si>
    <t>Inès</t>
  </si>
  <si>
    <t>ines.laurent@example.net</t>
  </si>
  <si>
    <t>07 66 55 44 33</t>
  </si>
  <si>
    <t>Théo</t>
  </si>
  <si>
    <t>theo.petit@example.org</t>
  </si>
  <si>
    <t>lea.rousseau@example.com</t>
  </si>
  <si>
    <t>07 44 33 22 11</t>
  </si>
  <si>
    <t>nathan.moreau@example.net</t>
  </si>
  <si>
    <t>06 33 22 11 00</t>
  </si>
  <si>
    <t>chloe.girard@example.org</t>
  </si>
  <si>
    <t>07 22 11 00 99</t>
  </si>
  <si>
    <t>louis.lefevre@example.com</t>
  </si>
  <si>
    <t>06 11 00 99 88</t>
  </si>
  <si>
    <t>manon.martin@example.net</t>
  </si>
  <si>
    <t>07 00 99 88 77</t>
  </si>
  <si>
    <t>emma.bernard@example.org</t>
  </si>
  <si>
    <t>hugo.dubois@example.com</t>
  </si>
  <si>
    <t>nathan.laurent@example.net</t>
  </si>
  <si>
    <t>ines.petit@example.org</t>
  </si>
  <si>
    <t>theo.rousseau@example.com</t>
  </si>
  <si>
    <t>lea.moreau@example.net</t>
  </si>
  <si>
    <t>nathan.girard@example.org</t>
  </si>
  <si>
    <t>chloe.lefevre@example.com</t>
  </si>
  <si>
    <t>zoe.bernard@example.org</t>
  </si>
  <si>
    <t>06 00 99 88 77</t>
  </si>
  <si>
    <t>emma.dubois@example.com</t>
  </si>
  <si>
    <t>07 99 88 77 66</t>
  </si>
  <si>
    <t>hugo.laurent@example.net</t>
  </si>
  <si>
    <t>06 88 77 66 55</t>
  </si>
  <si>
    <t>camille.petit@example.org</t>
  </si>
  <si>
    <t>ines.rousseau@example.com</t>
  </si>
  <si>
    <t>theo.moreau@example.net</t>
  </si>
  <si>
    <t>lea.girard@example.org</t>
  </si>
  <si>
    <t>nathan.lefevre@example.com</t>
  </si>
  <si>
    <t>chloe.martin@example.net</t>
  </si>
  <si>
    <t xml:space="preserve">Vincent </t>
  </si>
  <si>
    <t>Vermeiul</t>
  </si>
  <si>
    <t>moustafblondinndiaye@gmail.com</t>
  </si>
  <si>
    <t>06 04 03 01 28</t>
  </si>
  <si>
    <t>LISTES ACTIVITÉS</t>
  </si>
  <si>
    <t>LISTES FINANCIÈRES</t>
  </si>
  <si>
    <t>Nombre de cours</t>
  </si>
  <si>
    <t>Tarifs</t>
  </si>
  <si>
    <t>Mode de paiement</t>
  </si>
  <si>
    <t>INSCRIPTION AU COURS DE DANSE</t>
  </si>
  <si>
    <t>A remplir</t>
  </si>
  <si>
    <t>Infos</t>
  </si>
  <si>
    <t>Eric</t>
  </si>
  <si>
    <t>Prix Total</t>
  </si>
  <si>
    <t>Bougnoul</t>
  </si>
  <si>
    <t>Prix échéance</t>
  </si>
  <si>
    <t>Danse</t>
  </si>
  <si>
    <t>Date inscription</t>
  </si>
  <si>
    <t>eric.bougnoul@gmail.com</t>
  </si>
  <si>
    <t>Type de paiement</t>
  </si>
  <si>
    <t>Echéances</t>
  </si>
  <si>
    <t>STATISTIQUES RELATIVES AUX ACTIVITÉS ET AUX FINANCES DES ADHÉRENTS</t>
  </si>
  <si>
    <t>Row Labels</t>
  </si>
  <si>
    <t>Somme de Solde</t>
  </si>
  <si>
    <t>Somme de Prix</t>
  </si>
  <si>
    <t>Grand Total</t>
  </si>
  <si>
    <t>FACTURE ADHÉRANT</t>
  </si>
  <si>
    <t>Identification de l'association</t>
  </si>
  <si>
    <t>Ecole de danse</t>
  </si>
  <si>
    <t>100 rue de l'Egalité, 15000, Aurillac</t>
  </si>
  <si>
    <t>ecolededanse@gmail,com</t>
  </si>
  <si>
    <t>07 45 89 63 54</t>
  </si>
  <si>
    <t xml:space="preserve">Client </t>
  </si>
  <si>
    <t>Date</t>
  </si>
  <si>
    <t>TOTAL =</t>
  </si>
  <si>
    <t>Conditions de paiement :</t>
  </si>
  <si>
    <t>Date de réglement : 18/06/2025</t>
  </si>
  <si>
    <t>Date d'exécution : 18/06/2025</t>
  </si>
  <si>
    <t>Conditions d'escompte : _______________________</t>
  </si>
  <si>
    <t>TVA non applicable, art. 293 B du CGI</t>
  </si>
  <si>
    <t>Association NOM DE L'ASSOCIATION Enregistrée à la préfecture de VILLE sous le numéro XXXXXXXXXXX.</t>
  </si>
  <si>
    <t>ACTIVITÉS ET CATÉGORIES D'ADHÉRENTS</t>
  </si>
  <si>
    <t>Nombre de Nom</t>
  </si>
  <si>
    <t>Total rôle</t>
  </si>
  <si>
    <t>Rock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</si>
</sst>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#,##0\ &quot;€&quot;;[Red]\-#,##0\ &quot;€&quot;"/>
    <numFmt numFmtId="44" formatCode="_-* #,##0.00\ &quot;€&quot;_-;\-* #,##0.00\ &quot;€&quot;_-;_-* &quot;-&quot;??\ &quot;€&quot;_-;_-@_-"/>
    <numFmt numFmtId="164" formatCode="_-* #,##0.00\ [$€-40C]_-;\-* #,##0.00\ [$€-40C]_-;_-* &quot;-&quot;??\ [$€-40C]_-;_-@_-"/>
    <numFmt numFmtId="165" formatCode="#,##0.00\ &quot;€&quot;"/>
  </numFmts>
  <fonts count="15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1"/>
      <color rgb="FF002060"/>
      <name val="Aptos Narrow"/>
      <family val="2"/>
      <scheme val="minor"/>
    </font>
    <font>
      <b/>
      <sz val="48"/>
      <color rgb="FF000000"/>
      <name val="Aptos Narrow"/>
      <family val="2"/>
      <scheme val="minor"/>
    </font>
    <font>
      <sz val="24"/>
      <color rgb="FF000000"/>
      <name val="Aptos Narrow"/>
      <family val="2"/>
      <scheme val="minor"/>
    </font>
    <font>
      <sz val="24"/>
      <color theme="1"/>
      <name val="Aptos Narrow"/>
      <family val="2"/>
      <scheme val="minor"/>
    </font>
    <font>
      <sz val="2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34"/>
      <color theme="1"/>
      <name val="Microsoft Uighur"/>
    </font>
    <font>
      <sz val="48"/>
      <color theme="1"/>
      <name val="Microsoft Uighur"/>
    </font>
    <font>
      <sz val="36"/>
      <color theme="1"/>
      <name val="Microsoft Uighur"/>
    </font>
    <font>
      <sz val="38"/>
      <color theme="1"/>
      <name val="Microsoft Uighu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39997558519241921"/>
        <bgColor indexed="64"/>
      </patternFill>
    </fill>
  </fills>
  <borders count="3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dashed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dashed">
        <color rgb="FF000000"/>
      </right>
      <top style="thin">
        <color rgb="FF000000"/>
      </top>
      <bottom/>
      <diagonal/>
    </border>
    <border>
      <left/>
      <right style="dashed">
        <color rgb="FF000000"/>
      </right>
      <top/>
      <bottom style="thin">
        <color rgb="FF000000"/>
      </bottom>
      <diagonal/>
    </border>
    <border>
      <left style="dashed">
        <color rgb="FF000000"/>
      </left>
      <right/>
      <top style="dashed">
        <color rgb="FF000000"/>
      </top>
      <bottom style="dashed">
        <color rgb="FF000000"/>
      </bottom>
      <diagonal/>
    </border>
    <border>
      <left/>
      <right/>
      <top style="dashed">
        <color rgb="FF000000"/>
      </top>
      <bottom style="dashed">
        <color rgb="FF000000"/>
      </bottom>
      <diagonal/>
    </border>
    <border>
      <left/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6">
    <xf numFmtId="0" fontId="0" fillId="0" borderId="0" xfId="0"/>
    <xf numFmtId="0" fontId="0" fillId="0" borderId="0" xfId="0" applyAlignment="1">
      <alignment horizontal="left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4" fontId="0" fillId="0" borderId="0" xfId="0" applyNumberFormat="1"/>
    <xf numFmtId="44" fontId="0" fillId="0" borderId="0" xfId="0" applyNumberFormat="1"/>
    <xf numFmtId="0" fontId="0" fillId="0" borderId="0" xfId="0" pivotButton="1"/>
    <xf numFmtId="0" fontId="0" fillId="0" borderId="0" xfId="0" applyAlignment="1">
      <alignment wrapText="1"/>
    </xf>
    <xf numFmtId="0" fontId="0" fillId="0" borderId="11" xfId="0" applyBorder="1"/>
    <xf numFmtId="0" fontId="0" fillId="0" borderId="12" xfId="0" applyBorder="1"/>
    <xf numFmtId="0" fontId="2" fillId="0" borderId="0" xfId="0" applyFont="1"/>
    <xf numFmtId="0" fontId="0" fillId="2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0" borderId="21" xfId="0" applyBorder="1" applyAlignment="1">
      <alignment horizontal="center"/>
    </xf>
    <xf numFmtId="6" fontId="0" fillId="0" borderId="22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6" fontId="0" fillId="0" borderId="24" xfId="0" applyNumberFormat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2" borderId="10" xfId="0" applyFill="1" applyBorder="1"/>
    <xf numFmtId="0" fontId="3" fillId="0" borderId="0" xfId="0" applyFont="1" applyAlignment="1">
      <alignment vertical="center"/>
    </xf>
    <xf numFmtId="164" fontId="0" fillId="0" borderId="3" xfId="0" applyNumberFormat="1" applyBorder="1"/>
    <xf numFmtId="164" fontId="0" fillId="0" borderId="5" xfId="0" applyNumberFormat="1" applyBorder="1"/>
    <xf numFmtId="14" fontId="0" fillId="0" borderId="8" xfId="0" applyNumberFormat="1" applyBorder="1"/>
    <xf numFmtId="0" fontId="4" fillId="0" borderId="4" xfId="0" applyFont="1" applyBorder="1"/>
    <xf numFmtId="0" fontId="0" fillId="0" borderId="30" xfId="0" applyBorder="1" applyAlignment="1">
      <alignment horizontal="left"/>
    </xf>
    <xf numFmtId="0" fontId="1" fillId="0" borderId="30" xfId="1" applyFill="1" applyBorder="1" applyAlignment="1">
      <alignment horizontal="left"/>
    </xf>
    <xf numFmtId="0" fontId="0" fillId="0" borderId="30" xfId="0" applyBorder="1" applyAlignment="1">
      <alignment horizontal="center"/>
    </xf>
    <xf numFmtId="0" fontId="0" fillId="0" borderId="30" xfId="0" applyBorder="1" applyAlignment="1">
      <alignment horizontal="right"/>
    </xf>
    <xf numFmtId="14" fontId="0" fillId="0" borderId="30" xfId="0" applyNumberFormat="1" applyBorder="1" applyAlignment="1">
      <alignment horizontal="center"/>
    </xf>
    <xf numFmtId="0" fontId="0" fillId="0" borderId="30" xfId="0" applyBorder="1"/>
    <xf numFmtId="164" fontId="0" fillId="0" borderId="30" xfId="0" applyNumberFormat="1" applyBorder="1"/>
    <xf numFmtId="44" fontId="0" fillId="0" borderId="30" xfId="0" applyNumberFormat="1" applyBorder="1"/>
    <xf numFmtId="0" fontId="0" fillId="0" borderId="31" xfId="0" applyBorder="1"/>
    <xf numFmtId="0" fontId="0" fillId="0" borderId="32" xfId="0" applyBorder="1" applyAlignment="1">
      <alignment horizontal="left"/>
    </xf>
    <xf numFmtId="0" fontId="1" fillId="0" borderId="32" xfId="1" applyFill="1" applyBorder="1" applyAlignment="1">
      <alignment horizontal="left"/>
    </xf>
    <xf numFmtId="0" fontId="0" fillId="0" borderId="32" xfId="0" applyBorder="1" applyAlignment="1">
      <alignment horizontal="center"/>
    </xf>
    <xf numFmtId="0" fontId="0" fillId="0" borderId="32" xfId="0" applyBorder="1" applyAlignment="1">
      <alignment horizontal="right"/>
    </xf>
    <xf numFmtId="14" fontId="0" fillId="0" borderId="32" xfId="0" applyNumberFormat="1" applyBorder="1" applyAlignment="1">
      <alignment horizontal="center"/>
    </xf>
    <xf numFmtId="0" fontId="0" fillId="0" borderId="31" xfId="0" applyBorder="1" applyAlignment="1">
      <alignment horizontal="left"/>
    </xf>
    <xf numFmtId="0" fontId="1" fillId="0" borderId="31" xfId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0" fillId="0" borderId="31" xfId="0" applyBorder="1" applyAlignment="1">
      <alignment horizontal="right"/>
    </xf>
    <xf numFmtId="14" fontId="0" fillId="0" borderId="31" xfId="0" applyNumberFormat="1" applyBorder="1" applyAlignment="1">
      <alignment horizontal="center"/>
    </xf>
    <xf numFmtId="0" fontId="0" fillId="0" borderId="32" xfId="0" applyBorder="1"/>
    <xf numFmtId="164" fontId="0" fillId="0" borderId="32" xfId="0" applyNumberFormat="1" applyBorder="1"/>
    <xf numFmtId="44" fontId="0" fillId="0" borderId="32" xfId="0" applyNumberFormat="1" applyBorder="1"/>
    <xf numFmtId="0" fontId="8" fillId="0" borderId="0" xfId="0" applyFont="1" applyAlignment="1">
      <alignment horizontal="center" wrapText="1"/>
    </xf>
    <xf numFmtId="0" fontId="8" fillId="0" borderId="0" xfId="0" applyFont="1"/>
    <xf numFmtId="0" fontId="2" fillId="0" borderId="0" xfId="0" applyFont="1" applyAlignment="1">
      <alignment horizontal="left"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right"/>
    </xf>
    <xf numFmtId="49" fontId="0" fillId="0" borderId="0" xfId="0" applyNumberFormat="1" applyAlignment="1">
      <alignment wrapText="1"/>
    </xf>
    <xf numFmtId="165" fontId="8" fillId="0" borderId="33" xfId="0" applyNumberFormat="1" applyFont="1" applyBorder="1" applyAlignment="1">
      <alignment horizontal="right" vertical="center"/>
    </xf>
    <xf numFmtId="0" fontId="10" fillId="0" borderId="34" xfId="0" applyFont="1" applyBorder="1" applyAlignment="1">
      <alignment horizontal="center" wrapText="1"/>
    </xf>
    <xf numFmtId="0" fontId="10" fillId="0" borderId="35" xfId="0" applyFont="1" applyBorder="1" applyAlignment="1">
      <alignment horizontal="center"/>
    </xf>
    <xf numFmtId="14" fontId="8" fillId="0" borderId="36" xfId="0" applyNumberFormat="1" applyFont="1" applyBorder="1" applyAlignment="1">
      <alignment horizontal="center" vertical="center"/>
    </xf>
    <xf numFmtId="14" fontId="8" fillId="0" borderId="37" xfId="0" applyNumberFormat="1" applyFont="1" applyBorder="1" applyAlignment="1">
      <alignment horizontal="center" vertical="center" wrapText="1"/>
    </xf>
    <xf numFmtId="164" fontId="8" fillId="0" borderId="37" xfId="0" applyNumberFormat="1" applyFont="1" applyBorder="1" applyAlignment="1">
      <alignment horizontal="center" vertical="center"/>
    </xf>
    <xf numFmtId="164" fontId="8" fillId="0" borderId="36" xfId="0" applyNumberFormat="1" applyFont="1" applyBorder="1" applyAlignment="1">
      <alignment horizontal="center" vertical="center"/>
    </xf>
    <xf numFmtId="0" fontId="1" fillId="0" borderId="0" xfId="1" applyFill="1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0" borderId="5" xfId="1" applyBorder="1" applyAlignment="1">
      <alignment horizontal="center"/>
    </xf>
    <xf numFmtId="0" fontId="0" fillId="0" borderId="8" xfId="0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44" fontId="0" fillId="0" borderId="31" xfId="0" applyNumberFormat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4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center"/>
    </xf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13" fillId="2" borderId="13" xfId="0" applyFont="1" applyFill="1" applyBorder="1" applyAlignment="1">
      <alignment horizontal="center" vertical="center"/>
    </xf>
    <xf numFmtId="0" fontId="13" fillId="2" borderId="14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13" fillId="2" borderId="15" xfId="0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horizontal="center" vertical="center"/>
    </xf>
    <xf numFmtId="0" fontId="13" fillId="2" borderId="17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0" fontId="12" fillId="2" borderId="14" xfId="0" applyFont="1" applyFill="1" applyBorder="1" applyAlignment="1">
      <alignment horizontal="center" vertical="center"/>
    </xf>
    <xf numFmtId="0" fontId="12" fillId="2" borderId="16" xfId="0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0" fontId="12" fillId="2" borderId="9" xfId="0" applyFont="1" applyFill="1" applyBorder="1" applyAlignment="1">
      <alignment horizontal="center" vertical="center"/>
    </xf>
    <xf numFmtId="0" fontId="12" fillId="2" borderId="17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3" fillId="9" borderId="27" xfId="0" applyFont="1" applyFill="1" applyBorder="1" applyAlignment="1">
      <alignment horizontal="center" vertical="center"/>
    </xf>
    <xf numFmtId="0" fontId="3" fillId="9" borderId="28" xfId="0" applyFont="1" applyFill="1" applyBorder="1" applyAlignment="1">
      <alignment horizontal="center" vertical="center"/>
    </xf>
    <xf numFmtId="0" fontId="3" fillId="9" borderId="29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14" fillId="6" borderId="13" xfId="0" applyFont="1" applyFill="1" applyBorder="1" applyAlignment="1">
      <alignment horizontal="center" vertical="center"/>
    </xf>
    <xf numFmtId="0" fontId="14" fillId="6" borderId="14" xfId="0" applyFont="1" applyFill="1" applyBorder="1" applyAlignment="1">
      <alignment horizontal="center" vertical="center"/>
    </xf>
    <xf numFmtId="0" fontId="14" fillId="6" borderId="16" xfId="0" applyFont="1" applyFill="1" applyBorder="1" applyAlignment="1">
      <alignment horizontal="center" vertical="center"/>
    </xf>
    <xf numFmtId="0" fontId="14" fillId="6" borderId="15" xfId="0" applyFont="1" applyFill="1" applyBorder="1" applyAlignment="1">
      <alignment horizontal="center" vertical="center"/>
    </xf>
    <xf numFmtId="0" fontId="14" fillId="6" borderId="9" xfId="0" applyFont="1" applyFill="1" applyBorder="1" applyAlignment="1">
      <alignment horizontal="center" vertical="center"/>
    </xf>
    <xf numFmtId="0" fontId="14" fillId="6" borderId="17" xfId="0" applyFont="1" applyFill="1" applyBorder="1" applyAlignment="1">
      <alignment horizontal="center" vertical="center"/>
    </xf>
    <xf numFmtId="0" fontId="0" fillId="5" borderId="6" xfId="0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3" fillId="10" borderId="27" xfId="0" applyFont="1" applyFill="1" applyBorder="1" applyAlignment="1">
      <alignment horizontal="center" vertical="center"/>
    </xf>
    <xf numFmtId="0" fontId="3" fillId="10" borderId="28" xfId="0" applyFont="1" applyFill="1" applyBorder="1" applyAlignment="1">
      <alignment horizontal="center" vertical="center"/>
    </xf>
    <xf numFmtId="0" fontId="3" fillId="10" borderId="29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25" xfId="0" applyFill="1" applyBorder="1" applyAlignment="1">
      <alignment horizontal="center"/>
    </xf>
    <xf numFmtId="0" fontId="13" fillId="7" borderId="0" xfId="0" applyFont="1" applyFill="1" applyAlignment="1">
      <alignment horizontal="center" vertical="center"/>
    </xf>
    <xf numFmtId="0" fontId="6" fillId="0" borderId="0" xfId="0" applyFont="1" applyAlignment="1">
      <alignment horizontal="left" vertical="center" wrapText="1"/>
    </xf>
    <xf numFmtId="0" fontId="6" fillId="0" borderId="0" xfId="0" applyFont="1" applyAlignment="1">
      <alignment horizontal="right" vertical="center"/>
    </xf>
    <xf numFmtId="0" fontId="12" fillId="10" borderId="13" xfId="0" applyFont="1" applyFill="1" applyBorder="1" applyAlignment="1">
      <alignment horizontal="center" vertical="center"/>
    </xf>
    <xf numFmtId="0" fontId="12" fillId="10" borderId="14" xfId="0" applyFont="1" applyFill="1" applyBorder="1" applyAlignment="1">
      <alignment horizontal="center" vertical="center"/>
    </xf>
    <xf numFmtId="0" fontId="12" fillId="10" borderId="16" xfId="0" applyFont="1" applyFill="1" applyBorder="1" applyAlignment="1">
      <alignment horizontal="center" vertical="center"/>
    </xf>
    <xf numFmtId="0" fontId="12" fillId="10" borderId="15" xfId="0" applyFont="1" applyFill="1" applyBorder="1" applyAlignment="1">
      <alignment horizontal="center" vertical="center"/>
    </xf>
    <xf numFmtId="0" fontId="12" fillId="10" borderId="9" xfId="0" applyFont="1" applyFill="1" applyBorder="1" applyAlignment="1">
      <alignment horizontal="center" vertical="center"/>
    </xf>
    <xf numFmtId="0" fontId="12" fillId="10" borderId="17" xfId="0" applyFont="1" applyFill="1" applyBorder="1" applyAlignment="1">
      <alignment horizontal="center" vertical="center"/>
    </xf>
    <xf numFmtId="0" fontId="8" fillId="0" borderId="37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wrapText="1"/>
    </xf>
    <xf numFmtId="0" fontId="3" fillId="0" borderId="0" xfId="0" applyFont="1" applyAlignment="1">
      <alignment horizontal="left" wrapText="1"/>
    </xf>
    <xf numFmtId="0" fontId="2" fillId="0" borderId="0" xfId="0" applyFont="1" applyAlignment="1">
      <alignment wrapText="1"/>
    </xf>
    <xf numFmtId="0" fontId="7" fillId="0" borderId="0" xfId="0" applyFont="1" applyAlignment="1">
      <alignment wrapText="1"/>
    </xf>
    <xf numFmtId="0" fontId="7" fillId="0" borderId="0" xfId="0" applyFont="1" applyAlignment="1">
      <alignment horizontal="left" wrapText="1"/>
    </xf>
    <xf numFmtId="0" fontId="8" fillId="0" borderId="0" xfId="0" applyFont="1" applyAlignment="1">
      <alignment horizontal="right"/>
    </xf>
    <xf numFmtId="0" fontId="7" fillId="0" borderId="0" xfId="0" quotePrefix="1" applyFont="1" applyAlignment="1">
      <alignment horizontal="right"/>
    </xf>
    <xf numFmtId="0" fontId="8" fillId="0" borderId="0" xfId="0" applyFont="1" applyAlignment="1">
      <alignment wrapText="1"/>
    </xf>
    <xf numFmtId="14" fontId="8" fillId="0" borderId="0" xfId="0" applyNumberFormat="1" applyFont="1" applyAlignment="1">
      <alignment horizontal="left" wrapText="1"/>
    </xf>
    <xf numFmtId="0" fontId="8" fillId="0" borderId="36" xfId="0" applyFont="1" applyBorder="1" applyAlignment="1">
      <alignment horizontal="center" vertical="center"/>
    </xf>
    <xf numFmtId="0" fontId="2" fillId="0" borderId="0" xfId="0" applyFont="1" applyAlignment="1">
      <alignment horizontal="left" wrapText="1"/>
    </xf>
    <xf numFmtId="0" fontId="2" fillId="0" borderId="0" xfId="0" applyFont="1" applyAlignment="1">
      <alignment horizontal="right"/>
    </xf>
    <xf numFmtId="0" fontId="9" fillId="0" borderId="33" xfId="0" applyFont="1" applyBorder="1" applyAlignment="1">
      <alignment horizontal="right" vertical="center"/>
    </xf>
    <xf numFmtId="0" fontId="11" fillId="8" borderId="13" xfId="0" applyFont="1" applyFill="1" applyBorder="1" applyAlignment="1">
      <alignment horizontal="center" vertical="center"/>
    </xf>
    <xf numFmtId="0" fontId="11" fillId="8" borderId="14" xfId="0" applyFont="1" applyFill="1" applyBorder="1" applyAlignment="1">
      <alignment horizontal="center" vertical="center"/>
    </xf>
    <xf numFmtId="0" fontId="11" fillId="8" borderId="16" xfId="0" applyFont="1" applyFill="1" applyBorder="1" applyAlignment="1">
      <alignment horizontal="center" vertical="center"/>
    </xf>
    <xf numFmtId="0" fontId="11" fillId="8" borderId="15" xfId="0" applyFont="1" applyFill="1" applyBorder="1" applyAlignment="1">
      <alignment horizontal="center" vertical="center"/>
    </xf>
    <xf numFmtId="0" fontId="11" fillId="8" borderId="9" xfId="0" applyFont="1" applyFill="1" applyBorder="1" applyAlignment="1">
      <alignment horizontal="center" vertical="center"/>
    </xf>
    <xf numFmtId="0" fontId="11" fillId="8" borderId="17" xfId="0" applyFont="1" applyFill="1" applyBorder="1" applyAlignment="1">
      <alignment horizontal="center" vertical="center"/>
    </xf>
  </cellXfs>
  <cellStyles count="2">
    <cellStyle name="Hyperlink" xfId="1" xr:uid="{00000000-000B-0000-0000-000008000000}"/>
    <cellStyle name="Normal" xfId="0" builtinId="0"/>
  </cellStyles>
  <dxfs count="2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numFmt numFmtId="34" formatCode="_-* #,##0.00\ &quot;€&quot;_-;\-* #,##0.00\ &quot;€&quot;_-;_-* &quot;-&quot;??\ &quot;€&quot;_-;_-@_-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numFmt numFmtId="164" formatCode="_-* #,##0.00\ [$€-40C]_-;\-* #,##0.00\ [$€-40C]_-;_-* &quot;-&quot;??\ [$€-40C]_-;_-@_-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border diagonalUp="0" diagonalDown="0">
        <left style="thick">
          <color rgb="FF000000"/>
        </left>
        <right style="thick">
          <color rgb="FF000000"/>
        </right>
        <top style="medium">
          <color rgb="FF00000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ptos Narrow"/>
        <family val="2"/>
        <scheme val="minor"/>
      </font>
      <fill>
        <patternFill patternType="solid">
          <fgColor indexed="64"/>
          <bgColor rgb="FFFFC000"/>
        </patternFill>
      </fill>
    </dxf>
  </dxfs>
  <tableStyles count="0" defaultTableStyle="TableStyleMedium2" defaultPivotStyle="PivotStyleMedium9"/>
  <colors>
    <mruColors>
      <color rgb="FFFFC000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Bénéfices selon le mode de paiement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rgbClr val="D2D2D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ED7331"/>
          </a:solidFill>
          <a:ln>
            <a:noFill/>
          </a:ln>
          <a:effectLst/>
        </c:spPr>
      </c:pivotFmt>
      <c:pivotFmt>
        <c:idx val="2"/>
        <c:spPr>
          <a:solidFill>
            <a:srgbClr val="ED7331"/>
          </a:solidFill>
          <a:ln>
            <a:noFill/>
          </a:ln>
          <a:effectLst/>
        </c:spPr>
      </c:pivotFmt>
      <c:pivotFmt>
        <c:idx val="3"/>
        <c:spPr>
          <a:solidFill>
            <a:srgbClr val="D2D2D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ED7331"/>
          </a:solidFill>
          <a:ln>
            <a:noFill/>
          </a:ln>
          <a:effectLst/>
        </c:spPr>
      </c:pivotFmt>
      <c:pivotFmt>
        <c:idx val="5"/>
        <c:spPr>
          <a:solidFill>
            <a:srgbClr val="ED7331"/>
          </a:solidFill>
          <a:ln>
            <a:noFill/>
          </a:ln>
          <a:effectLst/>
        </c:spPr>
      </c:pivotFmt>
      <c:pivotFmt>
        <c:idx val="6"/>
        <c:spPr>
          <a:solidFill>
            <a:srgbClr val="D2D2D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ED7331"/>
          </a:solidFill>
          <a:ln>
            <a:noFill/>
          </a:ln>
          <a:effectLst/>
        </c:spPr>
      </c:pivotFmt>
      <c:pivotFmt>
        <c:idx val="8"/>
        <c:spPr>
          <a:solidFill>
            <a:srgbClr val="ED7331"/>
          </a:solidFill>
          <a:ln>
            <a:noFill/>
          </a:ln>
          <a:effectLst/>
        </c:spPr>
      </c:pivotFmt>
      <c:pivotFmt>
        <c:idx val="9"/>
        <c:spPr>
          <a:solidFill>
            <a:srgbClr val="D2D2D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ED7331"/>
          </a:solidFill>
          <a:ln>
            <a:noFill/>
          </a:ln>
          <a:effectLst/>
        </c:spPr>
      </c:pivotFmt>
      <c:pivotFmt>
        <c:idx val="11"/>
        <c:spPr>
          <a:solidFill>
            <a:srgbClr val="ED7331"/>
          </a:solidFill>
          <a:ln>
            <a:noFill/>
          </a:ln>
          <a:effectLst/>
        </c:spPr>
      </c:pivotFmt>
      <c:pivotFmt>
        <c:idx val="12"/>
        <c:spPr>
          <a:solidFill>
            <a:srgbClr val="FF0000"/>
          </a:solidFill>
          <a:ln>
            <a:solidFill>
              <a:srgbClr val="F2CEEF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F0000"/>
          </a:solidFill>
          <a:ln>
            <a:solidFill>
              <a:srgbClr val="F2CEEF"/>
            </a:solidFill>
            <a:prstDash val="solid"/>
          </a:ln>
          <a:effectLst/>
        </c:spPr>
      </c:pivotFmt>
      <c:pivotFmt>
        <c:idx val="14"/>
        <c:spPr>
          <a:solidFill>
            <a:srgbClr val="FF0000"/>
          </a:solidFill>
          <a:ln>
            <a:solidFill>
              <a:srgbClr val="F2CEEF"/>
            </a:solidFill>
            <a:prstDash val="solid"/>
          </a:ln>
          <a:effectLst/>
        </c:spPr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v/>
          </c:tx>
          <c:spPr>
            <a:solidFill>
              <a:srgbClr val="FF0000"/>
            </a:solidFill>
            <a:ln>
              <a:solidFill>
                <a:srgbClr val="F2CEEF"/>
              </a:solidFill>
              <a:prstDash val="solid"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solidFill>
                  <a:srgbClr val="F2CEEF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1-F868-46AC-91EE-63C09722ECB6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solidFill>
                  <a:srgbClr val="F2CEEF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3-F868-46AC-91EE-63C09722ECB6}"/>
              </c:ext>
            </c:extLst>
          </c:dPt>
          <c:cat>
            <c:strLit>
              <c:ptCount val="4"/>
              <c:pt idx="0">
                <c:v>CB</c:v>
              </c:pt>
              <c:pt idx="1">
                <c:v>Virement</c:v>
              </c:pt>
              <c:pt idx="2">
                <c:v>Chèques</c:v>
              </c:pt>
              <c:pt idx="3">
                <c:v>Espèces</c:v>
              </c:pt>
            </c:strLit>
          </c:cat>
          <c:val>
            <c:numLit>
              <c:formatCode>General</c:formatCode>
              <c:ptCount val="4"/>
              <c:pt idx="0">
                <c:v>2340</c:v>
              </c:pt>
              <c:pt idx="1">
                <c:v>2070</c:v>
              </c:pt>
              <c:pt idx="2">
                <c:v>900</c:v>
              </c:pt>
              <c:pt idx="3">
                <c:v>810</c:v>
              </c:pt>
            </c:numLit>
          </c:val>
          <c:extLst>
            <c:ext xmlns:c16="http://schemas.microsoft.com/office/drawing/2014/chart" uri="{C3380CC4-5D6E-409C-BE32-E72D297353CC}">
              <c16:uniqueId val="{00000004-F868-46AC-91EE-63C09722E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overlap val="100"/>
        <c:axId val="1733291528"/>
        <c:axId val="1733830152"/>
      </c:barChart>
      <c:catAx>
        <c:axId val="1733291528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Mode_paiement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33830152"/>
        <c:crosses val="autoZero"/>
        <c:auto val="1"/>
        <c:lblAlgn val="ctr"/>
        <c:lblOffset val="100"/>
        <c:noMultiLvlLbl val="0"/>
      </c:catAx>
      <c:valAx>
        <c:axId val="1733830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Solde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332915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145F8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Bénéfices selon niveau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145F82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solidFill>
                  <a:srgbClr val="4EA72E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1-9451-4862-8347-CB471AA38050}"/>
              </c:ext>
            </c:extLst>
          </c:dPt>
          <c:cat>
            <c:strLit>
              <c:ptCount val="2"/>
              <c:pt idx="0">
                <c:v>Intermédiaire</c:v>
              </c:pt>
              <c:pt idx="1">
                <c:v>Débutant</c:v>
              </c:pt>
            </c:strLit>
          </c:cat>
          <c:val>
            <c:numLit>
              <c:formatCode>General</c:formatCode>
              <c:ptCount val="2"/>
              <c:pt idx="0">
                <c:v>3960</c:v>
              </c:pt>
              <c:pt idx="1">
                <c:v>2160</c:v>
              </c:pt>
            </c:numLit>
          </c:val>
          <c:extLst>
            <c:ext xmlns:c16="http://schemas.microsoft.com/office/drawing/2014/chart" uri="{C3380CC4-5D6E-409C-BE32-E72D297353CC}">
              <c16:uniqueId val="{00000000-BF9B-4C97-B5F0-95AEDC98A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overlap val="-30"/>
        <c:axId val="1937509383"/>
        <c:axId val="1937515527"/>
      </c:barChart>
      <c:catAx>
        <c:axId val="1937509383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Niveau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37515527"/>
        <c:crosses val="autoZero"/>
        <c:auto val="1"/>
        <c:lblAlgn val="ctr"/>
        <c:lblOffset val="100"/>
        <c:noMultiLvlLbl val="0"/>
      </c:catAx>
      <c:valAx>
        <c:axId val="1937515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Solde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37509383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[PTUT.xlsm]Feuil2!Tableau croisé dynamique3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Somme des bénéfices selon le cours choisi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Feuil2!$B$2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Feuil2!$A$3:$A$5</c:f>
              <c:strCache>
                <c:ptCount val="2"/>
                <c:pt idx="0">
                  <c:v>Rock</c:v>
                </c:pt>
                <c:pt idx="1">
                  <c:v>Salsa</c:v>
                </c:pt>
              </c:strCache>
            </c:strRef>
          </c:cat>
          <c:val>
            <c:numRef>
              <c:f>Feuil2!$B$3:$B$5</c:f>
              <c:numCache>
                <c:formatCode>_-* #,##0.00\ [$€-40C]_-;\-* #,##0.00\ [$€-40C]_-;_-* "-"??\ [$€-40C]_-;_-@_-</c:formatCode>
                <c:ptCount val="2"/>
                <c:pt idx="0">
                  <c:v>10580</c:v>
                </c:pt>
                <c:pt idx="1">
                  <c:v>8030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F3-43BD-A5E0-6D22F1CAB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47352072"/>
        <c:axId val="1751651848"/>
      </c:barChart>
      <c:catAx>
        <c:axId val="1747352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51651848"/>
        <c:crosses val="autoZero"/>
        <c:auto val="1"/>
        <c:lblAlgn val="ctr"/>
        <c:lblOffset val="100"/>
        <c:noMultiLvlLbl val="0"/>
      </c:catAx>
      <c:valAx>
        <c:axId val="1751651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€-40C]_-;\-* #,##0.00\ [$€-40C]_-;_-* &quot;-&quot;??\ [$€-40C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7352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[PTUT.xlsm]Activité et catégories adhérent!Tableau croisé dynamique1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d'inscrits selon le cours choisi et la difficulté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'Activité et catégories adhérent'!$D$7:$D$8</c:f>
              <c:strCache>
                <c:ptCount val="1"/>
                <c:pt idx="0">
                  <c:v>Follower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'Activité et catégories adhérent'!$B$9:$C$13</c:f>
              <c:multiLvlStrCache>
                <c:ptCount val="3"/>
                <c:lvl>
                  <c:pt idx="0">
                    <c:v>Débutant</c:v>
                  </c:pt>
                  <c:pt idx="1">
                    <c:v>Intermédiaire</c:v>
                  </c:pt>
                </c:lvl>
                <c:lvl>
                  <c:pt idx="0">
                    <c:v>Rock</c:v>
                  </c:pt>
                  <c:pt idx="2">
                    <c:v>Salsa</c:v>
                  </c:pt>
                </c:lvl>
              </c:multiLvlStrCache>
            </c:multiLvlStrRef>
          </c:cat>
          <c:val>
            <c:numRef>
              <c:f>'Activité et catégories adhérent'!$D$9:$D$13</c:f>
              <c:numCache>
                <c:formatCode>General</c:formatCode>
                <c:ptCount val="3"/>
                <c:pt idx="0">
                  <c:v>6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63-4AA2-9F34-0ECAC50039E8}"/>
            </c:ext>
          </c:extLst>
        </c:ser>
        <c:ser>
          <c:idx val="1"/>
          <c:order val="1"/>
          <c:tx>
            <c:strRef>
              <c:f>'Activité et catégories adhérent'!$E$7:$E$8</c:f>
              <c:strCache>
                <c:ptCount val="1"/>
                <c:pt idx="0">
                  <c:v>Leader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'Activité et catégories adhérent'!$B$9:$C$13</c:f>
              <c:multiLvlStrCache>
                <c:ptCount val="3"/>
                <c:lvl>
                  <c:pt idx="0">
                    <c:v>Débutant</c:v>
                  </c:pt>
                  <c:pt idx="1">
                    <c:v>Intermédiaire</c:v>
                  </c:pt>
                </c:lvl>
                <c:lvl>
                  <c:pt idx="0">
                    <c:v>Rock</c:v>
                  </c:pt>
                  <c:pt idx="2">
                    <c:v>Salsa</c:v>
                  </c:pt>
                </c:lvl>
              </c:multiLvlStrCache>
            </c:multiLvlStrRef>
          </c:cat>
          <c:val>
            <c:numRef>
              <c:f>'Activité et catégories adhérent'!$E$9:$E$13</c:f>
              <c:numCache>
                <c:formatCode>General</c:formatCode>
                <c:ptCount val="3"/>
                <c:pt idx="0">
                  <c:v>5</c:v>
                </c:pt>
                <c:pt idx="1">
                  <c:v>12</c:v>
                </c:pt>
                <c:pt idx="2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63-4AA2-9F34-0ECAC5003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0"/>
        <c:overlap val="-30"/>
        <c:axId val="1705424391"/>
        <c:axId val="1920689671"/>
      </c:barChart>
      <c:catAx>
        <c:axId val="1705424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20689671"/>
        <c:crosses val="autoZero"/>
        <c:auto val="1"/>
        <c:lblAlgn val="ctr"/>
        <c:lblOffset val="100"/>
        <c:noMultiLvlLbl val="0"/>
      </c:catAx>
      <c:valAx>
        <c:axId val="1920689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05424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[PTUT.xlsm]Feuil2!Tableau croisé dynamique3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Feuil2!$B$2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Feuil2!$A$3:$A$5</c:f>
              <c:strCache>
                <c:ptCount val="2"/>
                <c:pt idx="0">
                  <c:v>Rock</c:v>
                </c:pt>
                <c:pt idx="1">
                  <c:v>Salsa</c:v>
                </c:pt>
              </c:strCache>
            </c:strRef>
          </c:cat>
          <c:val>
            <c:numRef>
              <c:f>Feuil2!$B$3:$B$5</c:f>
              <c:numCache>
                <c:formatCode>_-* #,##0.00\ [$€-40C]_-;\-* #,##0.00\ [$€-40C]_-;_-* "-"??\ [$€-40C]_-;_-@_-</c:formatCode>
                <c:ptCount val="2"/>
                <c:pt idx="0">
                  <c:v>10580</c:v>
                </c:pt>
                <c:pt idx="1">
                  <c:v>8030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B1-4774-8105-48874DE34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47352072"/>
        <c:axId val="1751651848"/>
      </c:barChart>
      <c:catAx>
        <c:axId val="1747352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51651848"/>
        <c:crosses val="autoZero"/>
        <c:auto val="1"/>
        <c:lblAlgn val="ctr"/>
        <c:lblOffset val="100"/>
        <c:noMultiLvlLbl val="0"/>
      </c:catAx>
      <c:valAx>
        <c:axId val="1751651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€-40C]_-;\-* #,##0.00\ [$€-40C]_-;_-* &quot;-&quot;??\ [$€-40C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7352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1.png"/><Relationship Id="rId1" Type="http://schemas.openxmlformats.org/officeDocument/2006/relationships/customXml" Target="../ink/ink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16376</xdr:col>
      <xdr:colOff>257175</xdr:colOff>
      <xdr:row>1048541</xdr:row>
      <xdr:rowOff>57150</xdr:rowOff>
    </xdr:from>
    <xdr:to>
      <xdr:col>16381</xdr:col>
      <xdr:colOff>485775</xdr:colOff>
      <xdr:row>1048546</xdr:row>
      <xdr:rowOff>95250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Encre 1">
              <a:extLst>
                <a:ext uri="{FF2B5EF4-FFF2-40B4-BE49-F238E27FC236}">
                  <a16:creationId xmlns:a16="http://schemas.microsoft.com/office/drawing/2014/main" id="{3DE90EC6-2147-43C3-9BD7-0C520826901E}"/>
                </a:ext>
                <a:ext uri="{147F2762-F138-4A5C-976F-8EAC2B608ADB}">
                  <a16:predDERef xmlns:a16="http://schemas.microsoft.com/office/drawing/2014/main" pred="{2ABD231E-2793-4019-991F-E137DCC94CCB}"/>
                </a:ext>
              </a:extLst>
            </xdr14:cNvPr>
            <xdr14:cNvContentPartPr/>
          </xdr14:nvContentPartPr>
          <xdr14:nvPr macro=""/>
          <xdr14:xfrm>
            <a:off x="9985314675" y="199750356150"/>
            <a:ext cx="3276600" cy="1038225"/>
          </xdr14:xfrm>
        </xdr:contentPart>
      </mc:Choice>
      <mc:Fallback xmlns="">
        <xdr:pic>
          <xdr:nvPicPr>
            <xdr:cNvPr id="12" name="">
              <a:extLst>
                <a:ext uri="{FF2B5EF4-FFF2-40B4-BE49-F238E27FC236}">
                  <a16:creationId xmlns:a16="http://schemas.microsoft.com/office/drawing/2014/main" id="{E3FF0761-0A78-473A-9CED-1C9E7B010BCD}"/>
                </a:ext>
                <a:ext uri="{147F2762-F138-4A5C-976F-8EAC2B608ADB}">
                  <a16:predDERef xmlns:a16="http://schemas.microsoft.com/office/drawing/2014/main" pred="{2ABD231E-2793-4019-991F-E137DCC94CCB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985296695" y="199750338510"/>
              <a:ext cx="3312200" cy="1073864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9</xdr:row>
      <xdr:rowOff>28575</xdr:rowOff>
    </xdr:from>
    <xdr:to>
      <xdr:col>5</xdr:col>
      <xdr:colOff>463550</xdr:colOff>
      <xdr:row>10</xdr:row>
      <xdr:rowOff>130175</xdr:rowOff>
    </xdr:to>
    <xdr:sp macro="[0]!Reset" textlink="">
      <xdr:nvSpPr>
        <xdr:cNvPr id="23" name="Rounded Rectangle 4">
          <a:extLst>
            <a:ext uri="{FF2B5EF4-FFF2-40B4-BE49-F238E27FC236}">
              <a16:creationId xmlns:a16="http://schemas.microsoft.com/office/drawing/2014/main" id="{4717A0C7-69CD-456E-8CCC-370DA790A418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1Y2Fmci1teS5zaGFyZXBvaW50LmNvbS86dTovZy9wZXJzb25hbC9lbnpvX2Nhc2Fub3ZhX2V0dV91Y2FfZnIvRVd6N21LR2VXcnhJZzBlNzBNOUFUaHdCRzJDR25OQk5BTDNhNWlWU0swcWVTZw&quot;}"/>
            </a:ext>
          </a:extLst>
        </xdr:cNvPr>
        <xdr:cNvSpPr/>
      </xdr:nvSpPr>
      <xdr:spPr>
        <a:xfrm>
          <a:off x="3467100" y="2085975"/>
          <a:ext cx="787400" cy="292100"/>
        </a:xfrm>
        <a:prstGeom prst="roundRect">
          <a:avLst/>
        </a:prstGeom>
        <a:solidFill>
          <a:srgbClr val="D13F3F"/>
        </a:solidFill>
        <a:ln>
          <a:solidFill>
            <a:schemeClr val="tx1"/>
          </a:solidFill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 b="0" i="0" u="none" strike="noStrike">
              <a:solidFill>
                <a:schemeClr val="bg1"/>
              </a:solidFill>
              <a:latin typeface="Aptos Narrow" panose="020B0004020202020204" pitchFamily="34" charset="0"/>
            </a:rPr>
            <a:t>Reset</a:t>
          </a:r>
        </a:p>
      </xdr:txBody>
    </xdr:sp>
    <xdr:clientData/>
  </xdr:twoCellAnchor>
  <xdr:twoCellAnchor>
    <xdr:from>
      <xdr:col>3</xdr:col>
      <xdr:colOff>257175</xdr:colOff>
      <xdr:row>15</xdr:row>
      <xdr:rowOff>104775</xdr:rowOff>
    </xdr:from>
    <xdr:to>
      <xdr:col>3</xdr:col>
      <xdr:colOff>2060575</xdr:colOff>
      <xdr:row>17</xdr:row>
      <xdr:rowOff>15875</xdr:rowOff>
    </xdr:to>
    <xdr:sp macro="[0]!Validation_inscription" textlink="">
      <xdr:nvSpPr>
        <xdr:cNvPr id="2" name="Rounded Rectangle 1">
          <a:extLst>
            <a:ext uri="{FF2B5EF4-FFF2-40B4-BE49-F238E27FC236}">
              <a16:creationId xmlns:a16="http://schemas.microsoft.com/office/drawing/2014/main" id="{751C19B4-1474-4120-BBA1-75E1B9C602BE}"/>
            </a:ext>
            <a:ext uri="{147F2762-F138-4A5C-976F-8EAC2B608ADB}">
              <a16:predDERef xmlns:a16="http://schemas.microsoft.com/office/drawing/2014/main" pred="{4717A0C7-69CD-456E-8CCC-370DA790A418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1Y2Fmci1teS5zaGFyZXBvaW50LmNvbS86dTovZy9wZXJzb25hbC9lbnpvX2Nhc2Fub3ZhX2V0dV91Y2FfZnIvRWVlaVpKeUMxeVJDdlhoVm5yX0xKd1FCeWY1WUhUeWs3Q3hFV1JpSHdLSE92dw&quot;}"/>
            </a:ext>
          </a:extLst>
        </xdr:cNvPr>
        <xdr:cNvSpPr/>
      </xdr:nvSpPr>
      <xdr:spPr>
        <a:xfrm>
          <a:off x="2695575" y="3324225"/>
          <a:ext cx="18034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Validation Inscription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466725</xdr:colOff>
      <xdr:row>5</xdr:row>
      <xdr:rowOff>142875</xdr:rowOff>
    </xdr:from>
    <xdr:to>
      <xdr:col>7</xdr:col>
      <xdr:colOff>142875</xdr:colOff>
      <xdr:row>20</xdr:row>
      <xdr:rowOff>28575</xdr:rowOff>
    </xdr:to>
    <xdr:graphicFrame macro="">
      <xdr:nvGraphicFramePr>
        <xdr:cNvPr id="19" name="Graphique 3" descr="Type de graphique : Barres empilées. « Mode_paiement » : « Solde » est sensiblement plus élevé pour CB et Virement.&#10;&#10;Description générée automatiquement">
          <a:extLst>
            <a:ext uri="{FF2B5EF4-FFF2-40B4-BE49-F238E27FC236}">
              <a16:creationId xmlns:a16="http://schemas.microsoft.com/office/drawing/2014/main" id="{48F43DF4-E951-4C8A-B5EF-7054A181374A}"/>
            </a:ext>
            <a:ext uri="{147F2762-F138-4A5C-976F-8EAC2B608ADB}">
              <a16:predDERef xmlns:a16="http://schemas.microsoft.com/office/drawing/2014/main" pred="{56E59E9D-B0F1-4271-8D2C-FDBEDEAB2A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523875</xdr:colOff>
      <xdr:row>5</xdr:row>
      <xdr:rowOff>123825</xdr:rowOff>
    </xdr:from>
    <xdr:to>
      <xdr:col>14</xdr:col>
      <xdr:colOff>371475</xdr:colOff>
      <xdr:row>20</xdr:row>
      <xdr:rowOff>9525</xdr:rowOff>
    </xdr:to>
    <xdr:graphicFrame macro="">
      <xdr:nvGraphicFramePr>
        <xdr:cNvPr id="17" name="Graphique 2" descr="Type de graphique : Barres groupées. « Solde » par « Niveau »&#10;&#10;Description générée automatiquement">
          <a:extLst>
            <a:ext uri="{FF2B5EF4-FFF2-40B4-BE49-F238E27FC236}">
              <a16:creationId xmlns:a16="http://schemas.microsoft.com/office/drawing/2014/main" id="{C5A41A44-FD95-46F5-8CF1-A9FF0B2F337F}"/>
            </a:ext>
            <a:ext uri="{147F2762-F138-4A5C-976F-8EAC2B608ADB}">
              <a16:predDERef xmlns:a16="http://schemas.microsoft.com/office/drawing/2014/main" pred="{48F43DF4-E951-4C8A-B5EF-7054A18137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485775</xdr:colOff>
      <xdr:row>4</xdr:row>
      <xdr:rowOff>19050</xdr:rowOff>
    </xdr:from>
    <xdr:to>
      <xdr:col>21</xdr:col>
      <xdr:colOff>523875</xdr:colOff>
      <xdr:row>18</xdr:row>
      <xdr:rowOff>95250</xdr:rowOff>
    </xdr:to>
    <xdr:graphicFrame macro="">
      <xdr:nvGraphicFramePr>
        <xdr:cNvPr id="7" name="Graphique 3">
          <a:extLst>
            <a:ext uri="{FF2B5EF4-FFF2-40B4-BE49-F238E27FC236}">
              <a16:creationId xmlns:a16="http://schemas.microsoft.com/office/drawing/2014/main" id="{E5DB190F-8663-40B6-AB9D-EF51BDC9044F}"/>
            </a:ext>
            <a:ext uri="{147F2762-F138-4A5C-976F-8EAC2B608ADB}">
              <a16:predDERef xmlns:a16="http://schemas.microsoft.com/office/drawing/2014/main" pred="{C5A41A44-FD95-46F5-8CF1-A9FF0B2F33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571500</xdr:colOff>
      <xdr:row>5</xdr:row>
      <xdr:rowOff>180975</xdr:rowOff>
    </xdr:from>
    <xdr:to>
      <xdr:col>17</xdr:col>
      <xdr:colOff>266700</xdr:colOff>
      <xdr:row>20</xdr:row>
      <xdr:rowOff>19050</xdr:rowOff>
    </xdr:to>
    <xdr:graphicFrame macro="">
      <xdr:nvGraphicFramePr>
        <xdr:cNvPr id="6" name="Graphique 1" descr="Type de graphique : Histogramme groupé. « Nom » par « Cours », « Niveau » et « Rôle » &#10;&#10;Description générée automatiquement">
          <a:extLst>
            <a:ext uri="{FF2B5EF4-FFF2-40B4-BE49-F238E27FC236}">
              <a16:creationId xmlns:a16="http://schemas.microsoft.com/office/drawing/2014/main" id="{5F6CA167-9E2B-4D77-93F3-DE40B031ED22}"/>
            </a:ext>
            <a:ext uri="{147F2762-F138-4A5C-976F-8EAC2B608ADB}">
              <a16:predDERef xmlns:a16="http://schemas.microsoft.com/office/drawing/2014/main" pred="{48F43DF4-E951-4C8A-B5EF-7054A18137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457200</xdr:colOff>
      <xdr:row>1</xdr:row>
      <xdr:rowOff>123825</xdr:rowOff>
    </xdr:from>
    <xdr:to>
      <xdr:col>9</xdr:col>
      <xdr:colOff>409575</xdr:colOff>
      <xdr:row>16</xdr:row>
      <xdr:rowOff>9525</xdr:rowOff>
    </xdr:to>
    <xdr:graphicFrame macro="">
      <xdr:nvGraphicFramePr>
        <xdr:cNvPr id="4" name="Graphique 1">
          <a:extLst>
            <a:ext uri="{FF2B5EF4-FFF2-40B4-BE49-F238E27FC236}">
              <a16:creationId xmlns:a16="http://schemas.microsoft.com/office/drawing/2014/main" id="{1E68A26F-C862-8F6C-D2D6-FDC10E8770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5-06-17T08:04:33.162"/>
    </inkml:context>
    <inkml:brush xml:id="br0">
      <inkml:brushProperty name="width" value="0.1" units="cm"/>
      <inkml:brushProperty name="height" value="0.1" units="cm"/>
    </inkml:brush>
  </inkml:definitions>
  <inkml:trace contextRef="#ctx0" brushRef="#br0">38581 11823 16383 0 0,'0'4'0'0'0,"0"19"0"0"0,0 27 0 0 0,0 22 0 0 0,0 16 0 0 0,0 6 0 0 0,0 17 0 0 0,0 10 0 0 0,0 8 0 0 0,0 11 0 0 0,0-1 0 0 0,0 5 0 0 0,0 6 0 0 0,0-3 0 0 0,0 0 0 0 0,0 9 0 0 0,0 12 0 0 0,0 5 0 0 0,0-17 0 0 0,0-15 0 0 0,0-20 0 0 0,0-27 0 0 0,0-23 0 0 0,-6-34 0 0 0,0-45 0 0 0,0-49 0 0 0,-4-52 0 0 0,-1-39 0 0 0,3-48 0 0 0,-14-24 0 0 0,-7-13 0 0 0,1 3 0 0 0,0 14 0 0 0,-4 10 0 0 0,2 27 0 0 0,1 23 0 0 0,6 20 0 0 0,8 21 0 0 0,5 21 0 0 0,4 17 0 0 0,4 19 0 0 0,2 14 0 0 0,1 11 0 0 0,6 6 0 0 0,5 8 0 0 0,13-6 0 0 0,15-3 0 0 0,17 0 0 0 0,14-1 0 0 0,14 5 0 0 0,3 3 0 0 0,2 4 0 0 0,-5 6 0 0 0,4 4 0 0 0,-4 7 0 0 0,0 13 0 0 0,8 26 0 0 0,6 14 0 0 0,-5 12 0 0 0,-8 3 0 0 0,-9 6 0 0 0,-14 14 0 0 0,-10 7 0 0 0,-10 3 0 0 0,-8-10 0 0 0,-9-5 0 0 0,-10-12 0 0 0,-7-15 0 0 0,-14-17 0 0 0,-19-9 0 0 0,-23-7 0 0 0,-24-7 0 0 0,-26 2 0 0 0,-21-2 0 0 0,0-3 0 0 0,4-4 0 0 0,17-4 0 0 0,26-2 0 0 0</inkml:trace>
  <inkml:trace contextRef="#ctx0" brushRef="#br0" timeOffset="1">42180 12303 16383 0 0,'-10'4'0'0'0,"-9"24"0"0"0,-5 19 0 0 0,-4 22 0 0 0,-2 28 0 0 0,-1 20 0 0 0,4 9 0 0 0,-3 9 0 0 0,4-2 0 0 0,6 3 0 0 0,1-10 0 0 0,5-13 0 0 0,4-16 0 0 0,4-22 0 0 0,3-19 0 0 0,1-14 0 0 0,2-14 0 0 0</inkml:trace>
  <inkml:trace contextRef="#ctx0" brushRef="#br0" timeOffset="2">40528 12303 16383 0 0,'10'0'0'0'0,"13"0"0"0"0,29 0 0 0 0,49 0 0 0 0,63 0 0 0 0,90 0 0 0 0,86 0 0 0 0,75-8 0 0 0,49-4 0 0 0,4-3 0 0 0,-36 1 0 0 0,-62-7 0 0 0,-85 2 0 0 0,-79-6 0 0 0,-70 2 0 0 0,-60 0 0 0 0,-35 5 0 0 0,-26 5 0 0 0</inkml:trace>
  <inkml:trace contextRef="#ctx0" brushRef="#br0" timeOffset="3">44511 12050 16383 0 0,'-6'9'0'0'0,"-5"24"0"0"0,-2 19 0 0 0,-4 22 0 0 0,2 21 0 0 0,-7 16 0 0 0,0 13 0 0 0,4 12 0 0 0,0 14 0 0 0,2 2 0 0 0,11-8 0 0 0,15-19 0 0 0,10-27 0 0 0,8-26 0 0 0,-1-21 0 0 0,5-14 0 0 0,1-10 0 0 0,1 0 0 0 0,5-1 0 0 0,10-1 0 0 0,2-4 0 0 0,3-5 0 0 0,6-7 0 0 0,9-13 0 0 0,7-18 0 0 0,2-14 0 0 0,6-15 0 0 0,-5-18 0 0 0,-1-21 0 0 0,-5-20 0 0 0,-13-20 0 0 0,-14-20 0 0 0,-12-6 0 0 0,-14 8 0 0 0,-9 11 0 0 0,-8 21 0 0 0,-3 24 0 0 0,-2 25 0 0 0,-1 19 0 0 0,1 14 0 0 0,-1 4 0 0 0,12 7 0 0 0,4 3 0 0 0,4 0 0 0 0,0 4 0 0 0</inkml:trace>
  <inkml:trace contextRef="#ctx0" brushRef="#br0" timeOffset="4">46841 12429 16383 0 0,'-10'13'0'0'0,"-8"17"0"0"0,-6 29 0 0 0,-5 35 0 0 0,-6 14 0 0 0,-4 6 0 0 0,1 1 0 0 0,2-6 0 0 0,6-10 0 0 0,10-8 0 0 0,1-10 0 0 0,6-8 0 0 0,4-10 0 0 0,3-9 0 0 0,4-3 0 0 0,1-8 0 0 0,2-6 0 0 0,-1-4 0 0 0,11-18 0 0 0,4-11 0 0 0</inkml:trace>
  <inkml:trace contextRef="#ctx0" brushRef="#br0" timeOffset="5">45690 12530 16383 0 0,'10'0'0'0'0,"70"-4"0"0"0,69-2 0 0 0,76 1 0 0 0,50-8 0 0 0,37-1 0 0 0,7 0 0 0 0,-16 0 0 0 0,-35 2 0 0 0,-42-6 0 0 0,-50 0 0 0 0,-46-1 0 0 0,-28 3 0 0 0,-27 4 0 0 0,-27 0 0 0 0,-16 1 0 0 0,-13 4 0 0 0</inkml:trace>
</inkml: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825.419291319442" createdVersion="8" refreshedVersion="8" minRefreshableVersion="3" recordCount="59" xr:uid="{5734FB16-3CE0-4EBE-809D-CC4793815799}">
  <cacheSource type="worksheet">
    <worksheetSource ref="A5:N64" sheet="Données"/>
  </cacheSource>
  <cacheFields count="14">
    <cacheField name="Nom" numFmtId="0">
      <sharedItems/>
    </cacheField>
    <cacheField name="Prénom" numFmtId="0">
      <sharedItems/>
    </cacheField>
    <cacheField name="Email" numFmtId="0">
      <sharedItems/>
    </cacheField>
    <cacheField name="Téléphone" numFmtId="0">
      <sharedItems/>
    </cacheField>
    <cacheField name="Cours" numFmtId="0">
      <sharedItems count="3">
        <s v="Rock"/>
        <s v="Salsa"/>
        <s v="Tango" u="1"/>
      </sharedItems>
    </cacheField>
    <cacheField name="Niveau" numFmtId="0">
      <sharedItems count="2">
        <s v="Débutant"/>
        <s v="Intermédiaire"/>
      </sharedItems>
    </cacheField>
    <cacheField name="Rôle" numFmtId="0">
      <sharedItems count="2">
        <s v="Leader"/>
        <s v="Follower"/>
      </sharedItems>
    </cacheField>
    <cacheField name="Nombre de cours (semaine)" numFmtId="0">
      <sharedItems containsNonDate="0" containsString="0" containsBlank="1"/>
    </cacheField>
    <cacheField name="Prix" numFmtId="164">
      <sharedItems containsSemiMixedTypes="0" containsString="0" containsNumber="1" containsInteger="1" minValue="150" maxValue="470"/>
    </cacheField>
    <cacheField name="Solde" numFmtId="44">
      <sharedItems containsSemiMixedTypes="0" containsString="0" containsNumber="1" containsInteger="1" minValue="0" maxValue="360"/>
    </cacheField>
    <cacheField name="Mode_paiement" numFmtId="0">
      <sharedItems count="5">
        <s v="Espèces"/>
        <s v="Chèque"/>
        <s v="CB"/>
        <s v="Virement"/>
        <s v="Chèques" u="1"/>
      </sharedItems>
    </cacheField>
    <cacheField name="Échéances" numFmtId="0">
      <sharedItems containsNonDate="0" containsString="0" containsBlank="1"/>
    </cacheField>
    <cacheField name="Date d'inscription" numFmtId="14">
      <sharedItems containsSemiMixedTypes="0" containsNonDate="0" containsDate="1" containsString="0" minDate="2024-09-13T00:00:00" maxDate="2025-09-10T00:00:00"/>
    </cacheField>
    <cacheField name="Date paiement final" numFmtId="14">
      <sharedItems containsSemiMixedTypes="0" containsNonDate="0" containsDate="1" containsString="0" minDate="2024-09-18T00:00:00" maxDate="2025-09-15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">
  <r>
    <s v="Jacquot"/>
    <s v="Geneviève"/>
    <s v="jacquotgenevieve@example.org"/>
    <s v="06 19 96 52 20"/>
    <x v="0"/>
    <x v="0"/>
    <x v="0"/>
    <m/>
    <n v="290"/>
    <n v="50"/>
    <x v="0"/>
    <m/>
    <d v="2025-05-15T00:00:00"/>
    <d v="2025-05-20T00:00:00"/>
  </r>
  <r>
    <s v="Masse"/>
    <s v="Thierry"/>
    <s v="thierry41@example.net"/>
    <s v="06 16 40 77 55"/>
    <x v="0"/>
    <x v="0"/>
    <x v="1"/>
    <m/>
    <n v="360"/>
    <n v="0"/>
    <x v="1"/>
    <m/>
    <d v="2025-02-20T00:00:00"/>
    <d v="2025-02-25T00:00:00"/>
  </r>
  <r>
    <s v="Lebrun"/>
    <s v="Colette"/>
    <s v="colette.lebrun@example.net"/>
    <s v="04 44 42 18 85"/>
    <x v="0"/>
    <x v="0"/>
    <x v="0"/>
    <m/>
    <n v="360"/>
    <n v="360"/>
    <x v="1"/>
    <m/>
    <d v="2024-10-28T00:00:00"/>
    <d v="2024-10-28T00:00:00"/>
  </r>
  <r>
    <s v="Gillet"/>
    <s v="Bertrand"/>
    <s v="bertrand.gillet@example.com"/>
    <s v="04 68 89 12 14"/>
    <x v="0"/>
    <x v="0"/>
    <x v="1"/>
    <m/>
    <n v="360"/>
    <n v="0"/>
    <x v="1"/>
    <m/>
    <d v="2024-09-25T00:00:00"/>
    <d v="2024-09-30T00:00:00"/>
  </r>
  <r>
    <s v="Sauvage"/>
    <s v="Émile"/>
    <s v="emilesauvage@example.net"/>
    <s v="07 62 58 24 25"/>
    <x v="1"/>
    <x v="1"/>
    <x v="0"/>
    <m/>
    <n v="290"/>
    <n v="290"/>
    <x v="2"/>
    <m/>
    <d v="2024-12-23T00:00:00"/>
    <d v="2024-12-23T00:00:00"/>
  </r>
  <r>
    <s v="Guillon"/>
    <s v="Gabriel"/>
    <s v="gabrielguillon@example.org"/>
    <s v="06 02 43 23 40"/>
    <x v="1"/>
    <x v="0"/>
    <x v="1"/>
    <m/>
    <n v="150"/>
    <n v="0"/>
    <x v="3"/>
    <m/>
    <d v="2025-04-29T00:00:00"/>
    <d v="2025-05-04T00:00:00"/>
  </r>
  <r>
    <s v="Maréchal"/>
    <s v="Victor"/>
    <s v="victor.marechal@example.net"/>
    <s v="07 93 20 34 12"/>
    <x v="0"/>
    <x v="1"/>
    <x v="0"/>
    <m/>
    <n v="150"/>
    <n v="100"/>
    <x v="3"/>
    <m/>
    <d v="2024-12-10T00:00:00"/>
    <d v="2024-12-15T00:00:00"/>
  </r>
  <r>
    <s v="Evrard"/>
    <s v="Agathe"/>
    <s v="agathe.evrard@example.org"/>
    <s v="06 46 51 33 20"/>
    <x v="0"/>
    <x v="1"/>
    <x v="0"/>
    <m/>
    <n v="220"/>
    <n v="0"/>
    <x v="1"/>
    <m/>
    <d v="2025-06-05T00:00:00"/>
    <d v="2025-06-10T00:00:00"/>
  </r>
  <r>
    <s v="Moreau"/>
    <s v="Camille"/>
    <s v="camille.moreau@example.com"/>
    <s v="06 75 33 89 12"/>
    <x v="0"/>
    <x v="1"/>
    <x v="0"/>
    <m/>
    <n v="400"/>
    <n v="200"/>
    <x v="2"/>
    <m/>
    <d v="2025-03-18T00:00:00"/>
    <d v="2025-03-22T00:00:00"/>
  </r>
  <r>
    <s v="Lefèvre"/>
    <s v="Lucas"/>
    <s v="lucas.lefevre@example.net"/>
    <s v="07 81 45 66 33"/>
    <x v="1"/>
    <x v="1"/>
    <x v="1"/>
    <m/>
    <n v="300"/>
    <n v="0"/>
    <x v="3"/>
    <m/>
    <d v="2025-01-14T00:00:00"/>
    <d v="2025-01-19T00:00:00"/>
  </r>
  <r>
    <s v="Bernard"/>
    <s v="Sophie"/>
    <s v="sophie.bernard@example.org"/>
    <s v="06 34 56 78 90"/>
    <x v="1"/>
    <x v="0"/>
    <x v="0"/>
    <m/>
    <n v="200"/>
    <n v="100"/>
    <x v="0"/>
    <m/>
    <d v="2025-05-05T00:00:00"/>
    <d v="2025-05-10T00:00:00"/>
  </r>
  <r>
    <s v="Dubois"/>
    <s v="Antoine"/>
    <s v="antoine.dubois@example.com"/>
    <s v="07 23 45 67 89"/>
    <x v="0"/>
    <x v="1"/>
    <x v="0"/>
    <m/>
    <n v="450"/>
    <n v="0"/>
    <x v="1"/>
    <m/>
    <d v="2025-07-11T00:00:00"/>
    <d v="2025-07-16T00:00:00"/>
  </r>
  <r>
    <s v="Laurent"/>
    <s v="Manon"/>
    <s v="manon.laurent@example.net"/>
    <s v="06 89 34 56 78"/>
    <x v="0"/>
    <x v="0"/>
    <x v="1"/>
    <m/>
    <n v="250"/>
    <n v="250"/>
    <x v="3"/>
    <m/>
    <d v="2025-02-22T00:00:00"/>
    <d v="2025-02-27T00:00:00"/>
  </r>
  <r>
    <s v="Petit"/>
    <s v="Julien"/>
    <s v="julien.petit@example.org"/>
    <s v="07 45 67 89 01"/>
    <x v="1"/>
    <x v="1"/>
    <x v="0"/>
    <m/>
    <n v="350"/>
    <n v="150"/>
    <x v="2"/>
    <m/>
    <d v="2025-06-30T00:00:00"/>
    <d v="2025-07-05T00:00:00"/>
  </r>
  <r>
    <s v="Rousseau"/>
    <s v="Emma"/>
    <s v="emma.rousseau@example.com"/>
    <s v="06 55 44 33 22"/>
    <x v="0"/>
    <x v="1"/>
    <x v="1"/>
    <m/>
    <n v="300"/>
    <n v="0"/>
    <x v="0"/>
    <m/>
    <d v="2025-09-09T00:00:00"/>
    <d v="2025-09-14T00:00:00"/>
  </r>
  <r>
    <s v="Martin"/>
    <s v="Louis"/>
    <s v="louis.martin@example.net"/>
    <s v="06 12 34 56 78"/>
    <x v="1"/>
    <x v="0"/>
    <x v="0"/>
    <m/>
    <n v="420"/>
    <n v="220"/>
    <x v="3"/>
    <m/>
    <d v="2025-04-17T00:00:00"/>
    <d v="2025-04-22T00:00:00"/>
  </r>
  <r>
    <s v="Durand"/>
    <s v="Chloé"/>
    <s v="chloe.durand@example.org"/>
    <s v="07 87 65 43 21"/>
    <x v="1"/>
    <x v="0"/>
    <x v="1"/>
    <m/>
    <n v="180"/>
    <n v="0"/>
    <x v="1"/>
    <m/>
    <d v="2025-08-23T00:00:00"/>
    <d v="2025-08-28T00:00:00"/>
  </r>
  <r>
    <s v="Leroy"/>
    <s v="Marie"/>
    <s v="marie.leroy@example.com"/>
    <s v="06 44 55 66 77"/>
    <x v="0"/>
    <x v="1"/>
    <x v="0"/>
    <m/>
    <n v="330"/>
    <n v="130"/>
    <x v="2"/>
    <m/>
    <d v="2024-11-30T00:00:00"/>
    <d v="2024-12-05T00:00:00"/>
  </r>
  <r>
    <s v="Lambert"/>
    <s v="Hugo"/>
    <s v="hugo.lambert@example.net"/>
    <s v="07 22 33 44 55"/>
    <x v="0"/>
    <x v="1"/>
    <x v="1"/>
    <m/>
    <n v="310"/>
    <n v="0"/>
    <x v="0"/>
    <m/>
    <d v="2025-03-01T00:00:00"/>
    <d v="2025-03-06T00:00:00"/>
  </r>
  <r>
    <s v="Faure"/>
    <s v="Clara"/>
    <s v="clara.faure@example.org"/>
    <s v="06 99 88 77 66"/>
    <x v="1"/>
    <x v="1"/>
    <x v="0"/>
    <m/>
    <n v="440"/>
    <n v="240"/>
    <x v="3"/>
    <m/>
    <d v="2025-05-19T00:00:00"/>
    <d v="2025-05-24T00:00:00"/>
  </r>
  <r>
    <s v="Blanc"/>
    <s v="Nathan"/>
    <s v="nathan.blanc@example.com"/>
    <s v="07 77 66 55 44"/>
    <x v="0"/>
    <x v="0"/>
    <x v="1"/>
    <m/>
    <n v="270"/>
    <n v="0"/>
    <x v="1"/>
    <m/>
    <d v="2025-07-14T00:00:00"/>
    <d v="2025-07-19T00:00:00"/>
  </r>
  <r>
    <s v="Girard"/>
    <s v="Léa"/>
    <s v="lea.girard@example.net"/>
    <s v="06 66 55 44 33"/>
    <x v="1"/>
    <x v="1"/>
    <x v="0"/>
    <m/>
    <n v="370"/>
    <n v="170"/>
    <x v="2"/>
    <m/>
    <d v="2024-10-10T00:00:00"/>
    <d v="2024-10-15T00:00:00"/>
  </r>
  <r>
    <s v="Bonnet"/>
    <s v="Tom"/>
    <s v="tom.bonnet@example.org"/>
    <s v="07 55 44 33 22"/>
    <x v="1"/>
    <x v="0"/>
    <x v="1"/>
    <m/>
    <n v="200"/>
    <n v="100"/>
    <x v="0"/>
    <m/>
    <d v="2024-12-05T00:00:00"/>
    <d v="2024-12-10T00:00:00"/>
  </r>
  <r>
    <s v="François"/>
    <s v="Anaïs"/>
    <s v="anais.francois@example.com"/>
    <s v="06 44 33 22 11"/>
    <x v="0"/>
    <x v="0"/>
    <x v="0"/>
    <m/>
    <n v="470"/>
    <n v="0"/>
    <x v="3"/>
    <m/>
    <d v="2025-01-20T00:00:00"/>
    <d v="2025-01-25T00:00:00"/>
  </r>
  <r>
    <s v="Moreau"/>
    <s v="Jules"/>
    <s v="jules.moreau@example.net"/>
    <s v="07 33 22 11 00"/>
    <x v="0"/>
    <x v="1"/>
    <x v="1"/>
    <m/>
    <n v="320"/>
    <n v="220"/>
    <x v="1"/>
    <m/>
    <d v="2025-06-16T00:00:00"/>
    <d v="2025-06-21T00:00:00"/>
  </r>
  <r>
    <s v="Girard"/>
    <s v="Emma"/>
    <s v="emma.girard@example.org"/>
    <s v="06 22 11 00 99"/>
    <x v="1"/>
    <x v="0"/>
    <x v="0"/>
    <m/>
    <n v="210"/>
    <n v="0"/>
    <x v="2"/>
    <m/>
    <d v="2025-09-08T00:00:00"/>
    <d v="2025-09-13T00:00:00"/>
  </r>
  <r>
    <s v="Lefèvre"/>
    <s v="Lucas"/>
    <s v="lucas.lefevre@example.com"/>
    <s v="07 11 00 99 88"/>
    <x v="0"/>
    <x v="1"/>
    <x v="1"/>
    <m/>
    <n v="340"/>
    <n v="140"/>
    <x v="0"/>
    <m/>
    <d v="2024-11-12T00:00:00"/>
    <d v="2024-11-17T00:00:00"/>
  </r>
  <r>
    <s v="Martin"/>
    <s v="Zoé"/>
    <s v="zoe.martin@example.net"/>
    <s v="06 99 88 77 66"/>
    <x v="1"/>
    <x v="1"/>
    <x v="0"/>
    <m/>
    <n v="410"/>
    <n v="210"/>
    <x v="3"/>
    <m/>
    <d v="2025-02-28T00:00:00"/>
    <d v="2025-03-05T00:00:00"/>
  </r>
  <r>
    <s v="Bernard"/>
    <s v="Hugo"/>
    <s v="hugo.bernard@example.org"/>
    <s v="07 88 77 66 55"/>
    <x v="1"/>
    <x v="0"/>
    <x v="1"/>
    <m/>
    <n v="190"/>
    <n v="0"/>
    <x v="1"/>
    <m/>
    <d v="2025-04-21T00:00:00"/>
    <d v="2025-04-26T00:00:00"/>
  </r>
  <r>
    <s v="Dubois"/>
    <s v="Camille"/>
    <s v="camille.dubois@example.com"/>
    <s v="06 77 66 55 44"/>
    <x v="0"/>
    <x v="1"/>
    <x v="0"/>
    <m/>
    <n v="380"/>
    <n v="180"/>
    <x v="2"/>
    <m/>
    <d v="2025-08-15T00:00:00"/>
    <d v="2025-08-20T00:00:00"/>
  </r>
  <r>
    <s v="Laurent"/>
    <s v="Inès"/>
    <s v="ines.laurent@example.net"/>
    <s v="07 66 55 44 33"/>
    <x v="1"/>
    <x v="1"/>
    <x v="1"/>
    <m/>
    <n v="300"/>
    <n v="0"/>
    <x v="0"/>
    <m/>
    <d v="2024-10-09T00:00:00"/>
    <d v="2024-10-14T00:00:00"/>
  </r>
  <r>
    <s v="Petit"/>
    <s v="Théo"/>
    <s v="theo.petit@example.org"/>
    <s v="06 55 44 33 22"/>
    <x v="1"/>
    <x v="0"/>
    <x v="0"/>
    <m/>
    <n v="430"/>
    <n v="230"/>
    <x v="3"/>
    <m/>
    <d v="2024-12-03T00:00:00"/>
    <d v="2024-12-08T00:00:00"/>
  </r>
  <r>
    <s v="Rousseau"/>
    <s v="Léa"/>
    <s v="lea.rousseau@example.com"/>
    <s v="07 44 33 22 11"/>
    <x v="0"/>
    <x v="0"/>
    <x v="1"/>
    <m/>
    <n v="260"/>
    <n v="60"/>
    <x v="1"/>
    <m/>
    <d v="2025-01-18T00:00:00"/>
    <d v="2025-01-23T00:00:00"/>
  </r>
  <r>
    <s v="Moreau"/>
    <s v="Nathan"/>
    <s v="nathan.moreau@example.net"/>
    <s v="06 33 22 11 00"/>
    <x v="0"/>
    <x v="1"/>
    <x v="0"/>
    <m/>
    <n v="350"/>
    <n v="150"/>
    <x v="2"/>
    <m/>
    <d v="2025-03-14T00:00:00"/>
    <d v="2025-03-19T00:00:00"/>
  </r>
  <r>
    <s v="Girard"/>
    <s v="Chloé"/>
    <s v="chloe.girard@example.org"/>
    <s v="07 22 11 00 99"/>
    <x v="1"/>
    <x v="0"/>
    <x v="1"/>
    <m/>
    <n v="220"/>
    <n v="0"/>
    <x v="0"/>
    <m/>
    <d v="2025-05-07T00:00:00"/>
    <d v="2025-05-12T00:00:00"/>
  </r>
  <r>
    <s v="Lefèvre"/>
    <s v="Louis"/>
    <s v="louis.lefevre@example.com"/>
    <s v="06 11 00 99 88"/>
    <x v="0"/>
    <x v="1"/>
    <x v="0"/>
    <m/>
    <n v="460"/>
    <n v="260"/>
    <x v="3"/>
    <m/>
    <d v="2025-07-30T00:00:00"/>
    <d v="2025-08-04T00:00:00"/>
  </r>
  <r>
    <s v="Martin"/>
    <s v="Manon"/>
    <s v="manon.martin@example.net"/>
    <s v="07 00 99 88 77"/>
    <x v="0"/>
    <x v="1"/>
    <x v="1"/>
    <m/>
    <n v="310"/>
    <n v="110"/>
    <x v="1"/>
    <m/>
    <d v="2024-09-24T00:00:00"/>
    <d v="2024-09-29T00:00:00"/>
  </r>
  <r>
    <s v="Bernard"/>
    <s v="Emma"/>
    <s v="emma.bernard@example.org"/>
    <s v="06 99 88 77 66"/>
    <x v="1"/>
    <x v="0"/>
    <x v="0"/>
    <m/>
    <n v="200"/>
    <n v="0"/>
    <x v="2"/>
    <m/>
    <d v="2024-11-13T00:00:00"/>
    <d v="2024-11-18T00:00:00"/>
  </r>
  <r>
    <s v="Dubois"/>
    <s v="Hugo"/>
    <s v="hugo.dubois@example.com"/>
    <s v="07 88 77 66 55"/>
    <x v="0"/>
    <x v="1"/>
    <x v="1"/>
    <m/>
    <n v="330"/>
    <n v="30"/>
    <x v="0"/>
    <m/>
    <d v="2025-01-05T00:00:00"/>
    <d v="2025-01-10T00:00:00"/>
  </r>
  <r>
    <s v="Laurent"/>
    <s v="Nathan"/>
    <s v="nathan.laurent@example.net"/>
    <s v="06 77 66 55 44"/>
    <x v="1"/>
    <x v="0"/>
    <x v="0"/>
    <m/>
    <n v="420"/>
    <n v="220"/>
    <x v="3"/>
    <m/>
    <d v="2025-02-22T00:00:00"/>
    <d v="2025-02-27T00:00:00"/>
  </r>
  <r>
    <s v="Petit"/>
    <s v="Inès"/>
    <s v="ines.petit@example.org"/>
    <s v="07 66 55 44 33"/>
    <x v="1"/>
    <x v="0"/>
    <x v="1"/>
    <m/>
    <n v="190"/>
    <n v="0"/>
    <x v="1"/>
    <m/>
    <d v="2025-04-08T00:00:00"/>
    <d v="2025-04-13T00:00:00"/>
  </r>
  <r>
    <s v="Rousseau"/>
    <s v="Théo"/>
    <s v="theo.rousseau@example.com"/>
    <s v="06 55 44 33 22"/>
    <x v="0"/>
    <x v="1"/>
    <x v="0"/>
    <m/>
    <n v="340"/>
    <n v="140"/>
    <x v="2"/>
    <m/>
    <d v="2025-06-16T00:00:00"/>
    <d v="2025-06-21T00:00:00"/>
  </r>
  <r>
    <s v="Moreau"/>
    <s v="Léa"/>
    <s v="lea.moreau@example.net"/>
    <s v="07 44 33 22 11"/>
    <x v="1"/>
    <x v="1"/>
    <x v="1"/>
    <m/>
    <n v="400"/>
    <n v="200"/>
    <x v="0"/>
    <m/>
    <d v="2025-08-01T00:00:00"/>
    <d v="2025-08-06T00:00:00"/>
  </r>
  <r>
    <s v="Girard"/>
    <s v="Nathan"/>
    <s v="nathan.girard@example.org"/>
    <s v="06 33 22 11 00"/>
    <x v="1"/>
    <x v="0"/>
    <x v="0"/>
    <m/>
    <n v="210"/>
    <n v="10"/>
    <x v="3"/>
    <m/>
    <d v="2024-10-10T00:00:00"/>
    <d v="2024-10-15T00:00:00"/>
  </r>
  <r>
    <s v="Lefèvre"/>
    <s v="Chloé"/>
    <s v="chloe.lefevre@example.com"/>
    <s v="07 22 11 00 99"/>
    <x v="0"/>
    <x v="1"/>
    <x v="1"/>
    <m/>
    <n v="320"/>
    <n v="0"/>
    <x v="1"/>
    <m/>
    <d v="2024-12-25T00:00:00"/>
    <d v="2024-12-30T00:00:00"/>
  </r>
  <r>
    <s v="Martin"/>
    <s v="Louis"/>
    <s v="louis.martin@example.net"/>
    <s v="07 11 00 99 88"/>
    <x v="0"/>
    <x v="0"/>
    <x v="0"/>
    <m/>
    <n v="450"/>
    <n v="250"/>
    <x v="2"/>
    <m/>
    <d v="2025-02-19T00:00:00"/>
    <d v="2025-02-24T00:00:00"/>
  </r>
  <r>
    <s v="Bernard"/>
    <s v="Zoé"/>
    <s v="zoe.bernard@example.org"/>
    <s v="06 00 99 88 77"/>
    <x v="1"/>
    <x v="0"/>
    <x v="1"/>
    <m/>
    <n v="220"/>
    <n v="20"/>
    <x v="0"/>
    <m/>
    <d v="2025-05-05T00:00:00"/>
    <d v="2025-05-10T00:00:00"/>
  </r>
  <r>
    <s v="Dubois"/>
    <s v="Emma"/>
    <s v="emma.dubois@example.com"/>
    <s v="07 99 88 77 66"/>
    <x v="0"/>
    <x v="1"/>
    <x v="0"/>
    <m/>
    <n v="370"/>
    <n v="170"/>
    <x v="3"/>
    <m/>
    <d v="2025-07-12T00:00:00"/>
    <d v="2025-07-17T00:00:00"/>
  </r>
  <r>
    <s v="Laurent"/>
    <s v="Hugo"/>
    <s v="hugo.laurent@example.net"/>
    <s v="06 88 77 66 55"/>
    <x v="1"/>
    <x v="1"/>
    <x v="1"/>
    <m/>
    <n v="330"/>
    <n v="0"/>
    <x v="1"/>
    <m/>
    <d v="2024-09-28T00:00:00"/>
    <d v="2024-10-03T00:00:00"/>
  </r>
  <r>
    <s v="Petit"/>
    <s v="Camille"/>
    <s v="camille.petit@example.org"/>
    <s v="07 77 66 55 44"/>
    <x v="1"/>
    <x v="1"/>
    <x v="0"/>
    <m/>
    <n v="410"/>
    <n v="210"/>
    <x v="2"/>
    <m/>
    <d v="2024-11-14T00:00:00"/>
    <d v="2024-11-19T00:00:00"/>
  </r>
  <r>
    <s v="Rousseau"/>
    <s v="Inès"/>
    <s v="ines.rousseau@example.com"/>
    <s v="06 66 55 44 33"/>
    <x v="0"/>
    <x v="0"/>
    <x v="1"/>
    <m/>
    <n v="250"/>
    <n v="50"/>
    <x v="0"/>
    <m/>
    <d v="2025-01-20T00:00:00"/>
    <d v="2025-01-25T00:00:00"/>
  </r>
  <r>
    <s v="Moreau"/>
    <s v="Théo"/>
    <s v="theo.moreau@example.net"/>
    <s v="07 55 44 33 22"/>
    <x v="0"/>
    <x v="1"/>
    <x v="0"/>
    <m/>
    <n v="360"/>
    <n v="160"/>
    <x v="3"/>
    <m/>
    <d v="2025-03-05T00:00:00"/>
    <d v="2025-03-10T00:00:00"/>
  </r>
  <r>
    <s v="Girard"/>
    <s v="Léa"/>
    <s v="lea.girard@example.org"/>
    <s v="06 44 33 22 11"/>
    <x v="1"/>
    <x v="0"/>
    <x v="1"/>
    <m/>
    <n v="230"/>
    <n v="0"/>
    <x v="1"/>
    <m/>
    <d v="2025-05-18T00:00:00"/>
    <d v="2025-05-23T00:00:00"/>
  </r>
  <r>
    <s v="Lefèvre"/>
    <s v="Nathan"/>
    <s v="nathan.lefevre@example.com"/>
    <s v="07 33 22 11 00"/>
    <x v="0"/>
    <x v="0"/>
    <x v="0"/>
    <m/>
    <n v="440"/>
    <n v="240"/>
    <x v="2"/>
    <m/>
    <d v="2025-07-30T00:00:00"/>
    <d v="2025-08-04T00:00:00"/>
  </r>
  <r>
    <s v="Martin"/>
    <s v="Chloé"/>
    <s v="chloe.martin@example.net"/>
    <s v="06 22 11 00 99"/>
    <x v="1"/>
    <x v="1"/>
    <x v="1"/>
    <m/>
    <n v="320"/>
    <n v="120"/>
    <x v="0"/>
    <m/>
    <d v="2024-09-13T00:00:00"/>
    <d v="2024-09-18T00:00:00"/>
  </r>
  <r>
    <s v="Bernard"/>
    <s v="Louis"/>
    <s v="louis.bernard@example.org"/>
    <s v="07 11 00 99 88"/>
    <x v="1"/>
    <x v="0"/>
    <x v="0"/>
    <m/>
    <n v="200"/>
    <n v="0"/>
    <x v="3"/>
    <m/>
    <d v="2024-11-07T00:00:00"/>
    <d v="2024-11-12T00:00:00"/>
  </r>
  <r>
    <s v="Dubois"/>
    <s v="Emma"/>
    <s v="emma.dubois@example.com"/>
    <s v="06 00 99 88 77"/>
    <x v="0"/>
    <x v="1"/>
    <x v="1"/>
    <m/>
    <n v="350"/>
    <n v="150"/>
    <x v="1"/>
    <m/>
    <d v="2025-01-26T00:00:00"/>
    <d v="2025-01-31T00:00:00"/>
  </r>
  <r>
    <s v="Laurent"/>
    <s v="Hugo"/>
    <s v="hugo.laurent@example.net"/>
    <s v="07 99 88 77 66"/>
    <x v="0"/>
    <x v="1"/>
    <x v="0"/>
    <m/>
    <n v="430"/>
    <n v="230"/>
    <x v="2"/>
    <m/>
    <d v="2025-03-15T00:00:00"/>
    <d v="2025-03-20T00:00:00"/>
  </r>
  <r>
    <s v="Petit"/>
    <s v="Inès"/>
    <s v="ines.petit@example.org"/>
    <s v="06 88 77 66 55"/>
    <x v="1"/>
    <x v="0"/>
    <x v="1"/>
    <m/>
    <n v="240"/>
    <n v="0"/>
    <x v="0"/>
    <m/>
    <d v="2025-05-09T00:00:00"/>
    <d v="2025-05-14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1E6BFD-262D-485D-AC51-444CF32BE570}" name="Tableau croisé dynamique7" cacheId="35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7">
  <location ref="L36:M39" firstHeaderRow="1" firstDataRow="1" firstDataCol="1"/>
  <pivotFields count="14">
    <pivotField showAll="0"/>
    <pivotField showAll="0"/>
    <pivotField showAll="0"/>
    <pivotField showAll="0"/>
    <pivotField showAll="0"/>
    <pivotField axis="axisRow" showAll="0" sortType="descending">
      <items count="3"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64" showAll="0"/>
    <pivotField dataField="1" numFmtId="44" showAll="0"/>
    <pivotField showAll="0"/>
    <pivotField showAll="0"/>
    <pivotField numFmtId="14" showAll="0"/>
    <pivotField numFmtId="14" showAll="0"/>
  </pivotFields>
  <rowFields count="1">
    <field x="5"/>
  </rowFields>
  <rowItems count="3">
    <i>
      <x v="1"/>
    </i>
    <i>
      <x/>
    </i>
    <i t="grand">
      <x/>
    </i>
  </rowItems>
  <colItems count="1">
    <i/>
  </colItems>
  <dataFields count="1">
    <dataField name="Somme de Solde" fld="9" baseField="0" baseItem="0" numFmtId="44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A8F3DA-F466-4C7C-904C-67AD8AB0F5AB}" name="Tableau croisé dynamique6" cacheId="35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multipleFieldFilters="0" chartFormat="7">
  <location ref="S36:T39" firstHeaderRow="1" firstDataRow="1" firstDataCol="1"/>
  <pivotFields count="14"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4">
        <item x="0"/>
        <item x="1"/>
        <item m="1" x="2"/>
        <item t="default"/>
      </items>
    </pivotField>
    <pivotField compact="0" outline="0" showAll="0"/>
    <pivotField compact="0" outline="0" showAll="0"/>
    <pivotField compact="0" outline="0" showAll="0"/>
    <pivotField dataField="1" compact="0" numFmtId="164" outline="0" showAll="0"/>
    <pivotField compact="0" numFmtId="44" outline="0" showAll="0"/>
    <pivotField compact="0" outline="0" showAll="0"/>
    <pivotField compact="0" outline="0" showAll="0"/>
    <pivotField compact="0" numFmtId="14" outline="0" showAll="0"/>
    <pivotField compact="0" numFmtId="14" outline="0" showAll="0"/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Somme de Prix" fld="8" baseField="0" baseItem="0" numFmtId="164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4BE959-D891-4DEB-A2E8-93A463BF1105}" name="Tableau croisé dynamique8" cacheId="35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7">
  <location ref="D36:E41" firstHeaderRow="1" firstDataRow="1" firstDataCol="1"/>
  <pivotFields count="14"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dataField="1" numFmtId="44" showAll="0"/>
    <pivotField axis="axisRow" showAll="0" sortType="descending">
      <items count="6">
        <item x="2"/>
        <item m="1" x="4"/>
        <item x="0"/>
        <item x="3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14" showAll="0"/>
    <pivotField numFmtId="14" showAll="0"/>
  </pivotFields>
  <rowFields count="1">
    <field x="10"/>
  </rowFields>
  <rowItems count="5">
    <i>
      <x/>
    </i>
    <i>
      <x v="3"/>
    </i>
    <i>
      <x v="4"/>
    </i>
    <i>
      <x v="2"/>
    </i>
    <i t="grand">
      <x/>
    </i>
  </rowItems>
  <colItems count="1">
    <i/>
  </colItems>
  <dataFields count="1">
    <dataField name="Somme de Solde" fld="9" baseField="0" baseItem="0" numFmtId="44"/>
  </dataFields>
  <chartFormats count="2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5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3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6" format="14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D8A0B1-C2F8-4A79-85A6-FB7C744B999D}" name="Tableau croisé dynamique1" cacheId="357" applyNumberFormats="0" applyBorderFormats="0" applyFontFormats="0" applyPatternFormats="0" applyAlignmentFormats="0" applyWidthHeightFormats="1" dataCaption="Valeurs" grandTotalCaption="Total rôle" updatedVersion="8" minRefreshableVersion="3" useAutoFormatting="1" itemPrintTitles="1" createdVersion="8" indent="0" compact="0" compactData="0" multipleFieldFilters="0" chartFormat="13">
  <location ref="B7:F13" firstHeaderRow="1" firstDataRow="2" firstDataCol="2"/>
  <pivotFields count="14"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4">
        <item x="0"/>
        <item sd="0" x="1"/>
        <item m="1" x="2"/>
        <item t="default"/>
      </items>
    </pivotField>
    <pivotField axis="axisRow" compact="0" outline="0" showAll="0">
      <items count="3">
        <item x="0"/>
        <item x="1"/>
        <item t="default"/>
      </items>
    </pivotField>
    <pivotField axis="axisCol" compact="0" outline="0" showAll="0">
      <items count="3">
        <item x="1"/>
        <item x="0"/>
        <item t="default"/>
      </items>
    </pivotField>
    <pivotField compact="0" outline="0" showAll="0"/>
    <pivotField compact="0" numFmtId="164" outline="0" showAll="0"/>
    <pivotField compact="0" numFmtId="44" outline="0" showAll="0"/>
    <pivotField compact="0" outline="0" showAll="0"/>
    <pivotField compact="0" outline="0" showAll="0"/>
    <pivotField compact="0" numFmtId="14" outline="0" showAll="0"/>
    <pivotField compact="0" numFmtId="14" outline="0" showAll="0"/>
  </pivotFields>
  <rowFields count="2">
    <field x="4"/>
    <field x="5"/>
  </rowFields>
  <rowItems count="5">
    <i>
      <x/>
      <x/>
    </i>
    <i r="1">
      <x v="1"/>
    </i>
    <i t="default">
      <x/>
    </i>
    <i>
      <x v="1"/>
    </i>
    <i t="grand">
      <x/>
    </i>
  </rowItems>
  <colFields count="1">
    <field x="6"/>
  </colFields>
  <colItems count="3">
    <i>
      <x/>
    </i>
    <i>
      <x v="1"/>
    </i>
    <i t="grand">
      <x/>
    </i>
  </colItems>
  <dataFields count="1">
    <dataField name="Nombre de Nom" fld="0" subtotal="count" baseField="0" baseItem="0"/>
  </dataFields>
  <chartFormats count="22"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5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5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1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1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9" format="1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9" format="1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1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1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1" format="1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1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1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1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0E500E-532B-4A34-AC9D-DC0D9365F0DD}" name="Tableau croisé dynamique3" cacheId="35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multipleFieldFilters="0" chartFormat="7">
  <location ref="A2:B5" firstHeaderRow="1" firstDataRow="1" firstDataCol="1"/>
  <pivotFields count="14"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4">
        <item x="0"/>
        <item x="1"/>
        <item m="1" x="2"/>
        <item t="default"/>
      </items>
    </pivotField>
    <pivotField compact="0" outline="0" showAll="0"/>
    <pivotField compact="0" outline="0" showAll="0"/>
    <pivotField compact="0" outline="0" showAll="0"/>
    <pivotField dataField="1" compact="0" numFmtId="164" outline="0" showAll="0"/>
    <pivotField compact="0" numFmtId="44" outline="0" showAll="0"/>
    <pivotField compact="0" outline="0" showAll="0"/>
    <pivotField compact="0" outline="0" showAll="0"/>
    <pivotField compact="0" numFmtId="14" outline="0" showAll="0"/>
    <pivotField compact="0" numFmtId="14" outline="0" showAll="0"/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Somme de Prix" fld="8" baseField="0" baseItem="0" numFmtId="164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9150A4-12CE-4A3C-9313-15E5C7D8C915}" name="data_adherants" displayName="data_adherants" ref="A5:N64" totalsRowShown="0" headerRowDxfId="20" tableBorderDxfId="19">
  <autoFilter ref="A5:N64" xr:uid="{319150A4-12CE-4A3C-9313-15E5C7D8C915}"/>
  <tableColumns count="14">
    <tableColumn id="1" xr3:uid="{2049CE9F-0C86-4635-BAEE-26B9393A0724}" name="Nom" dataDxfId="18"/>
    <tableColumn id="2" xr3:uid="{7D35E20F-033F-4C41-AB39-5198F2098D98}" name="Prénom" dataDxfId="17"/>
    <tableColumn id="3" xr3:uid="{B71A4B13-8B71-4F2C-BA5B-31051FDAB623}" name="Email" dataDxfId="16" dataCellStyle="Hyperlink"/>
    <tableColumn id="4" xr3:uid="{E266C2F5-E1A7-4BD5-91A0-6D8F3263CAAE}" name="Téléphone" dataDxfId="15"/>
    <tableColumn id="5" xr3:uid="{D3E825B0-ABCA-4282-AADC-6BCD54C4042A}" name="Cours" dataDxfId="14"/>
    <tableColumn id="6" xr3:uid="{73A2AB3B-0189-488D-877F-4B1A17422ACC}" name="Niveau" dataDxfId="13"/>
    <tableColumn id="7" xr3:uid="{7DD7705B-A57D-4434-AD50-B75205009E7E}" name="Rôle" dataDxfId="12"/>
    <tableColumn id="8" xr3:uid="{2A7D80E8-4026-46F8-B264-3C72861DBDC7}" name="Nombre de cours (semaine)" dataDxfId="11"/>
    <tableColumn id="9" xr3:uid="{135853F3-A990-4C38-BDB4-998A96597ED5}" name="Prix" dataDxfId="10"/>
    <tableColumn id="10" xr3:uid="{3E553BA6-86CF-40D6-AFDD-9B58C22018A3}" name="Solde" dataDxfId="9"/>
    <tableColumn id="11" xr3:uid="{F99E12D3-2674-46CF-B1E2-D5AE452E4BE1}" name="Mode_paiement" dataDxfId="8"/>
    <tableColumn id="12" xr3:uid="{8B66CCAA-AED9-4A49-94EA-6F765A9A4D6F}" name="Échéances" dataDxfId="7"/>
    <tableColumn id="13" xr3:uid="{ED22BD17-32AA-4CF7-9027-EC55D68EF456}" name="Date d'inscription" dataDxfId="6"/>
    <tableColumn id="14" xr3:uid="{A641B959-59B6-4CEE-BD6A-9BCF715BDA3E}" name="Date paiement final" dataDxfId="5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manon.laurent@example.net" TargetMode="External"/><Relationship Id="rId18" Type="http://schemas.openxmlformats.org/officeDocument/2006/relationships/hyperlink" Target="mailto:marie.leroy@example.com" TargetMode="External"/><Relationship Id="rId26" Type="http://schemas.openxmlformats.org/officeDocument/2006/relationships/hyperlink" Target="mailto:emma.girard@example.org" TargetMode="External"/><Relationship Id="rId39" Type="http://schemas.openxmlformats.org/officeDocument/2006/relationships/hyperlink" Target="mailto:hugo.dubois@example.com" TargetMode="External"/><Relationship Id="rId21" Type="http://schemas.openxmlformats.org/officeDocument/2006/relationships/hyperlink" Target="mailto:nathan.blanc@example.com" TargetMode="External"/><Relationship Id="rId34" Type="http://schemas.openxmlformats.org/officeDocument/2006/relationships/hyperlink" Target="mailto:nathan.moreau@example.net" TargetMode="External"/><Relationship Id="rId42" Type="http://schemas.openxmlformats.org/officeDocument/2006/relationships/hyperlink" Target="mailto:theo.rousseau@example.com" TargetMode="External"/><Relationship Id="rId47" Type="http://schemas.openxmlformats.org/officeDocument/2006/relationships/hyperlink" Target="mailto:emma.dubois@example.com" TargetMode="External"/><Relationship Id="rId50" Type="http://schemas.openxmlformats.org/officeDocument/2006/relationships/hyperlink" Target="mailto:ines.rousseau@example.com" TargetMode="External"/><Relationship Id="rId55" Type="http://schemas.openxmlformats.org/officeDocument/2006/relationships/hyperlink" Target="mailto:chloe.martin@example.net" TargetMode="External"/><Relationship Id="rId7" Type="http://schemas.openxmlformats.org/officeDocument/2006/relationships/hyperlink" Target="mailto:victor.marechal@example.net" TargetMode="External"/><Relationship Id="rId2" Type="http://schemas.openxmlformats.org/officeDocument/2006/relationships/hyperlink" Target="mailto:thierry41@example.net" TargetMode="External"/><Relationship Id="rId16" Type="http://schemas.openxmlformats.org/officeDocument/2006/relationships/hyperlink" Target="mailto:louis.martin@example.net" TargetMode="External"/><Relationship Id="rId29" Type="http://schemas.openxmlformats.org/officeDocument/2006/relationships/hyperlink" Target="mailto:hugo.bernard@example.org" TargetMode="External"/><Relationship Id="rId11" Type="http://schemas.openxmlformats.org/officeDocument/2006/relationships/hyperlink" Target="mailto:sophie.bernard@example.org" TargetMode="External"/><Relationship Id="rId24" Type="http://schemas.openxmlformats.org/officeDocument/2006/relationships/hyperlink" Target="mailto:anais.francois@example.com" TargetMode="External"/><Relationship Id="rId32" Type="http://schemas.openxmlformats.org/officeDocument/2006/relationships/hyperlink" Target="mailto:theo.petit@example.org" TargetMode="External"/><Relationship Id="rId37" Type="http://schemas.openxmlformats.org/officeDocument/2006/relationships/hyperlink" Target="mailto:manon.martin@example.net" TargetMode="External"/><Relationship Id="rId40" Type="http://schemas.openxmlformats.org/officeDocument/2006/relationships/hyperlink" Target="mailto:nathan.laurent@example.net" TargetMode="External"/><Relationship Id="rId45" Type="http://schemas.openxmlformats.org/officeDocument/2006/relationships/hyperlink" Target="mailto:louis.martin@example.net" TargetMode="External"/><Relationship Id="rId53" Type="http://schemas.openxmlformats.org/officeDocument/2006/relationships/hyperlink" Target="mailto:lea.moreau@example.net" TargetMode="External"/><Relationship Id="rId58" Type="http://schemas.openxmlformats.org/officeDocument/2006/relationships/hyperlink" Target="mailto:ines.petit@example.org" TargetMode="External"/><Relationship Id="rId5" Type="http://schemas.openxmlformats.org/officeDocument/2006/relationships/hyperlink" Target="mailto:emilesauvage@example.net" TargetMode="External"/><Relationship Id="rId19" Type="http://schemas.openxmlformats.org/officeDocument/2006/relationships/hyperlink" Target="mailto:hugo.lambert@example.net" TargetMode="External"/><Relationship Id="rId4" Type="http://schemas.openxmlformats.org/officeDocument/2006/relationships/hyperlink" Target="mailto:bertrand.gillet@example.com" TargetMode="External"/><Relationship Id="rId9" Type="http://schemas.openxmlformats.org/officeDocument/2006/relationships/hyperlink" Target="mailto:camille.moreau@example.com" TargetMode="External"/><Relationship Id="rId14" Type="http://schemas.openxmlformats.org/officeDocument/2006/relationships/hyperlink" Target="mailto:julien.petit@example.org" TargetMode="External"/><Relationship Id="rId22" Type="http://schemas.openxmlformats.org/officeDocument/2006/relationships/hyperlink" Target="mailto:lea.girard@example.net" TargetMode="External"/><Relationship Id="rId27" Type="http://schemas.openxmlformats.org/officeDocument/2006/relationships/hyperlink" Target="mailto:lucas.lefevre@example.com" TargetMode="External"/><Relationship Id="rId30" Type="http://schemas.openxmlformats.org/officeDocument/2006/relationships/hyperlink" Target="mailto:camille.dubois@example.com" TargetMode="External"/><Relationship Id="rId35" Type="http://schemas.openxmlformats.org/officeDocument/2006/relationships/hyperlink" Target="mailto:chloe.girard@example.org" TargetMode="External"/><Relationship Id="rId43" Type="http://schemas.openxmlformats.org/officeDocument/2006/relationships/hyperlink" Target="mailto:nathan.girard@example.org" TargetMode="External"/><Relationship Id="rId48" Type="http://schemas.openxmlformats.org/officeDocument/2006/relationships/hyperlink" Target="mailto:hugo.laurent@example.net" TargetMode="External"/><Relationship Id="rId56" Type="http://schemas.openxmlformats.org/officeDocument/2006/relationships/hyperlink" Target="mailto:emma.dubois@example.com" TargetMode="External"/><Relationship Id="rId8" Type="http://schemas.openxmlformats.org/officeDocument/2006/relationships/hyperlink" Target="mailto:agathe.evrard@example.org" TargetMode="External"/><Relationship Id="rId51" Type="http://schemas.openxmlformats.org/officeDocument/2006/relationships/hyperlink" Target="mailto:theo.moreau@example.net" TargetMode="External"/><Relationship Id="rId3" Type="http://schemas.openxmlformats.org/officeDocument/2006/relationships/hyperlink" Target="mailto:colette.lebrun@example.net" TargetMode="External"/><Relationship Id="rId12" Type="http://schemas.openxmlformats.org/officeDocument/2006/relationships/hyperlink" Target="mailto:antoine.dubois@example.com" TargetMode="External"/><Relationship Id="rId17" Type="http://schemas.openxmlformats.org/officeDocument/2006/relationships/hyperlink" Target="mailto:chloe.durand@example.org" TargetMode="External"/><Relationship Id="rId25" Type="http://schemas.openxmlformats.org/officeDocument/2006/relationships/hyperlink" Target="mailto:jules.moreau@example.net" TargetMode="External"/><Relationship Id="rId33" Type="http://schemas.openxmlformats.org/officeDocument/2006/relationships/hyperlink" Target="mailto:lea.rousseau@example.com" TargetMode="External"/><Relationship Id="rId38" Type="http://schemas.openxmlformats.org/officeDocument/2006/relationships/hyperlink" Target="mailto:emma.bernard@example.org" TargetMode="External"/><Relationship Id="rId46" Type="http://schemas.openxmlformats.org/officeDocument/2006/relationships/hyperlink" Target="mailto:zoe.bernard@example.org" TargetMode="External"/><Relationship Id="rId59" Type="http://schemas.openxmlformats.org/officeDocument/2006/relationships/drawing" Target="../drawings/drawing1.xml"/><Relationship Id="rId20" Type="http://schemas.openxmlformats.org/officeDocument/2006/relationships/hyperlink" Target="mailto:clara.faure@example.org" TargetMode="External"/><Relationship Id="rId41" Type="http://schemas.openxmlformats.org/officeDocument/2006/relationships/hyperlink" Target="mailto:ines.petit@example.org" TargetMode="External"/><Relationship Id="rId54" Type="http://schemas.openxmlformats.org/officeDocument/2006/relationships/hyperlink" Target="mailto:nathan.lefevre@example.com" TargetMode="External"/><Relationship Id="rId1" Type="http://schemas.openxmlformats.org/officeDocument/2006/relationships/hyperlink" Target="mailto:jacquotgenevieve@example.org" TargetMode="External"/><Relationship Id="rId6" Type="http://schemas.openxmlformats.org/officeDocument/2006/relationships/hyperlink" Target="mailto:gabrielguillon@example.org" TargetMode="External"/><Relationship Id="rId15" Type="http://schemas.openxmlformats.org/officeDocument/2006/relationships/hyperlink" Target="mailto:emma.rousseau@example.com" TargetMode="External"/><Relationship Id="rId23" Type="http://schemas.openxmlformats.org/officeDocument/2006/relationships/hyperlink" Target="mailto:tom.bonnet@example.org" TargetMode="External"/><Relationship Id="rId28" Type="http://schemas.openxmlformats.org/officeDocument/2006/relationships/hyperlink" Target="mailto:zoe.martin@example.net" TargetMode="External"/><Relationship Id="rId36" Type="http://schemas.openxmlformats.org/officeDocument/2006/relationships/hyperlink" Target="mailto:louis.lefevre@example.com" TargetMode="External"/><Relationship Id="rId49" Type="http://schemas.openxmlformats.org/officeDocument/2006/relationships/hyperlink" Target="mailto:camille.petit@example.org" TargetMode="External"/><Relationship Id="rId57" Type="http://schemas.openxmlformats.org/officeDocument/2006/relationships/hyperlink" Target="mailto:hugo.laurent@example.net" TargetMode="External"/><Relationship Id="rId10" Type="http://schemas.openxmlformats.org/officeDocument/2006/relationships/hyperlink" Target="mailto:lucas.lefevre@example.net" TargetMode="External"/><Relationship Id="rId31" Type="http://schemas.openxmlformats.org/officeDocument/2006/relationships/hyperlink" Target="mailto:ines.laurent@example.net" TargetMode="External"/><Relationship Id="rId44" Type="http://schemas.openxmlformats.org/officeDocument/2006/relationships/hyperlink" Target="mailto:chloe.lefevre@example.com" TargetMode="External"/><Relationship Id="rId52" Type="http://schemas.openxmlformats.org/officeDocument/2006/relationships/hyperlink" Target="mailto:lea.girard@example.org" TargetMode="External"/><Relationship Id="rId60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53BD0-29B5-4632-9E2B-06DE136865CA}">
  <sheetPr codeName="Feuil1"/>
  <dimension ref="A1:Q65"/>
  <sheetViews>
    <sheetView showGridLines="0" workbookViewId="0">
      <selection activeCell="E5" sqref="E5"/>
    </sheetView>
  </sheetViews>
  <sheetFormatPr defaultColWidth="9" defaultRowHeight="15"/>
  <cols>
    <col min="1" max="1" width="9.28515625" style="37" bestFit="1" customWidth="1"/>
    <col min="2" max="2" width="9.7109375" style="37" bestFit="1" customWidth="1"/>
    <col min="3" max="3" width="30.85546875" style="37" bestFit="1" customWidth="1"/>
    <col min="4" max="4" width="13.28515625" style="37" bestFit="1" customWidth="1"/>
    <col min="5" max="5" width="8.28515625" style="37" bestFit="1" customWidth="1"/>
    <col min="6" max="6" width="12.28515625" style="37" bestFit="1" customWidth="1"/>
    <col min="7" max="7" width="8.140625" style="37" bestFit="1" customWidth="1"/>
    <col min="8" max="8" width="26.85546875" style="37" bestFit="1" customWidth="1"/>
    <col min="9" max="9" width="9.140625" style="38" bestFit="1" customWidth="1"/>
    <col min="10" max="10" width="10.5703125" style="39" bestFit="1" customWidth="1"/>
    <col min="11" max="11" width="16.85546875" style="37" bestFit="1" customWidth="1"/>
    <col min="12" max="12" width="12.5703125" style="37" bestFit="1" customWidth="1"/>
    <col min="13" max="13" width="18.140625" style="37" bestFit="1" customWidth="1"/>
    <col min="14" max="14" width="19.85546875" style="37" bestFit="1" customWidth="1"/>
    <col min="17" max="17" width="11.140625" bestFit="1" customWidth="1"/>
  </cols>
  <sheetData>
    <row r="1" spans="1:17">
      <c r="A1"/>
      <c r="B1"/>
      <c r="C1" s="81" t="s">
        <v>0</v>
      </c>
      <c r="D1" s="82"/>
      <c r="E1" s="82"/>
      <c r="F1" s="82"/>
      <c r="G1" s="82"/>
      <c r="H1" s="82"/>
      <c r="I1" s="82"/>
      <c r="J1" s="82"/>
      <c r="K1" s="82"/>
      <c r="L1" s="82"/>
      <c r="M1" s="83"/>
      <c r="N1"/>
    </row>
    <row r="2" spans="1:17">
      <c r="A2"/>
      <c r="B2"/>
      <c r="C2" s="84"/>
      <c r="D2" s="85"/>
      <c r="E2" s="85"/>
      <c r="F2" s="85"/>
      <c r="G2" s="85"/>
      <c r="H2" s="85"/>
      <c r="I2" s="85"/>
      <c r="J2" s="85"/>
      <c r="K2" s="85"/>
      <c r="L2" s="85"/>
      <c r="M2" s="86"/>
      <c r="N2"/>
    </row>
    <row r="3" spans="1:17">
      <c r="A3"/>
      <c r="B3"/>
      <c r="C3"/>
      <c r="D3"/>
      <c r="E3"/>
      <c r="F3"/>
      <c r="G3"/>
      <c r="H3"/>
      <c r="I3" s="10"/>
      <c r="J3" s="11"/>
      <c r="K3"/>
      <c r="L3"/>
      <c r="M3"/>
      <c r="N3"/>
    </row>
    <row r="4" spans="1:17">
      <c r="A4"/>
      <c r="B4"/>
      <c r="C4"/>
      <c r="D4"/>
      <c r="E4"/>
      <c r="F4"/>
      <c r="G4"/>
      <c r="H4"/>
      <c r="I4" s="10"/>
      <c r="J4" s="11"/>
      <c r="K4"/>
      <c r="L4"/>
      <c r="M4"/>
      <c r="N4"/>
    </row>
    <row r="5" spans="1:17">
      <c r="A5" s="79" t="s">
        <v>1</v>
      </c>
      <c r="B5" s="79" t="s">
        <v>2</v>
      </c>
      <c r="C5" s="79" t="s">
        <v>3</v>
      </c>
      <c r="D5" s="79" t="s">
        <v>4</v>
      </c>
      <c r="E5" s="79" t="s">
        <v>5</v>
      </c>
      <c r="F5" s="79" t="s">
        <v>6</v>
      </c>
      <c r="G5" s="79" t="s">
        <v>7</v>
      </c>
      <c r="H5" s="79" t="s">
        <v>8</v>
      </c>
      <c r="I5" s="80" t="s">
        <v>9</v>
      </c>
      <c r="J5" s="79" t="s">
        <v>10</v>
      </c>
      <c r="K5" s="79" t="s">
        <v>11</v>
      </c>
      <c r="L5" s="79" t="s">
        <v>12</v>
      </c>
      <c r="M5" s="79" t="s">
        <v>13</v>
      </c>
      <c r="N5" s="79" t="s">
        <v>14</v>
      </c>
    </row>
    <row r="6" spans="1:17">
      <c r="A6" s="1" t="s">
        <v>15</v>
      </c>
      <c r="B6" s="1" t="s">
        <v>16</v>
      </c>
      <c r="C6" s="67" t="s">
        <v>17</v>
      </c>
      <c r="D6" s="74" t="s">
        <v>18</v>
      </c>
      <c r="E6" s="1" t="s">
        <v>19</v>
      </c>
      <c r="F6" s="1" t="s">
        <v>20</v>
      </c>
      <c r="G6" s="1" t="s">
        <v>21</v>
      </c>
      <c r="H6" s="74">
        <v>3</v>
      </c>
      <c r="I6" s="75">
        <v>290</v>
      </c>
      <c r="J6" s="76">
        <v>0</v>
      </c>
      <c r="K6" s="77" t="s">
        <v>22</v>
      </c>
      <c r="L6" s="74">
        <v>6</v>
      </c>
      <c r="M6" s="78">
        <v>45792</v>
      </c>
      <c r="N6" s="78"/>
      <c r="Q6" s="13"/>
    </row>
    <row r="7" spans="1:17">
      <c r="A7" s="41" t="s">
        <v>23</v>
      </c>
      <c r="B7" s="41" t="s">
        <v>24</v>
      </c>
      <c r="C7" s="42" t="s">
        <v>25</v>
      </c>
      <c r="D7" s="43" t="s">
        <v>26</v>
      </c>
      <c r="E7" s="41" t="s">
        <v>19</v>
      </c>
      <c r="F7" s="41" t="s">
        <v>20</v>
      </c>
      <c r="G7" s="41" t="s">
        <v>27</v>
      </c>
      <c r="H7" s="74">
        <v>2</v>
      </c>
      <c r="I7" s="75">
        <v>220</v>
      </c>
      <c r="J7" s="76">
        <v>220</v>
      </c>
      <c r="K7" s="44" t="s">
        <v>28</v>
      </c>
      <c r="L7" s="74">
        <v>1</v>
      </c>
      <c r="M7" s="45">
        <v>45708</v>
      </c>
      <c r="N7" s="78">
        <v>45736</v>
      </c>
      <c r="Q7" s="13"/>
    </row>
    <row r="8" spans="1:17">
      <c r="A8" s="32" t="s">
        <v>29</v>
      </c>
      <c r="B8" s="32" t="s">
        <v>30</v>
      </c>
      <c r="C8" s="33" t="s">
        <v>31</v>
      </c>
      <c r="D8" s="34" t="s">
        <v>32</v>
      </c>
      <c r="E8" s="32" t="s">
        <v>19</v>
      </c>
      <c r="F8" s="32" t="s">
        <v>20</v>
      </c>
      <c r="G8" s="32" t="s">
        <v>21</v>
      </c>
      <c r="H8" s="74">
        <v>2</v>
      </c>
      <c r="I8" s="75">
        <v>220</v>
      </c>
      <c r="J8" s="76">
        <v>220</v>
      </c>
      <c r="K8" s="35" t="s">
        <v>28</v>
      </c>
      <c r="L8" s="74">
        <v>1</v>
      </c>
      <c r="M8" s="36">
        <v>45593</v>
      </c>
      <c r="N8" s="78">
        <v>45624</v>
      </c>
      <c r="Q8" s="13"/>
    </row>
    <row r="9" spans="1:17">
      <c r="A9" s="32" t="s">
        <v>33</v>
      </c>
      <c r="B9" s="32" t="s">
        <v>34</v>
      </c>
      <c r="C9" s="33" t="s">
        <v>35</v>
      </c>
      <c r="D9" s="34" t="s">
        <v>36</v>
      </c>
      <c r="E9" s="32" t="s">
        <v>19</v>
      </c>
      <c r="F9" s="32" t="s">
        <v>20</v>
      </c>
      <c r="G9" s="32" t="s">
        <v>27</v>
      </c>
      <c r="H9" s="74">
        <v>2</v>
      </c>
      <c r="I9" s="75">
        <v>220</v>
      </c>
      <c r="J9" s="76">
        <v>220</v>
      </c>
      <c r="K9" s="35" t="s">
        <v>28</v>
      </c>
      <c r="L9" s="74">
        <v>5</v>
      </c>
      <c r="M9" s="36">
        <v>45560</v>
      </c>
      <c r="N9" s="78">
        <v>45713</v>
      </c>
      <c r="Q9" s="13"/>
    </row>
    <row r="10" spans="1:17">
      <c r="A10" s="32" t="s">
        <v>37</v>
      </c>
      <c r="B10" s="32" t="s">
        <v>38</v>
      </c>
      <c r="C10" s="33" t="s">
        <v>39</v>
      </c>
      <c r="D10" s="34" t="s">
        <v>40</v>
      </c>
      <c r="E10" s="32" t="s">
        <v>41</v>
      </c>
      <c r="F10" s="32" t="s">
        <v>42</v>
      </c>
      <c r="G10" s="32" t="s">
        <v>21</v>
      </c>
      <c r="H10" s="74">
        <v>1</v>
      </c>
      <c r="I10" s="75">
        <v>150</v>
      </c>
      <c r="J10" s="76">
        <v>150</v>
      </c>
      <c r="K10" s="35" t="s">
        <v>43</v>
      </c>
      <c r="L10" s="74">
        <v>4</v>
      </c>
      <c r="M10" s="36">
        <v>45649</v>
      </c>
      <c r="N10" s="78">
        <v>45770</v>
      </c>
      <c r="Q10" s="13"/>
    </row>
    <row r="11" spans="1:17">
      <c r="A11" s="32" t="s">
        <v>44</v>
      </c>
      <c r="B11" s="32" t="s">
        <v>45</v>
      </c>
      <c r="C11" s="33" t="s">
        <v>46</v>
      </c>
      <c r="D11" s="34" t="s">
        <v>47</v>
      </c>
      <c r="E11" s="32" t="s">
        <v>41</v>
      </c>
      <c r="F11" s="32" t="s">
        <v>20</v>
      </c>
      <c r="G11" s="32" t="s">
        <v>27</v>
      </c>
      <c r="H11" s="74">
        <v>3</v>
      </c>
      <c r="I11" s="75">
        <v>290</v>
      </c>
      <c r="J11" s="76">
        <v>0</v>
      </c>
      <c r="K11" s="35" t="s">
        <v>48</v>
      </c>
      <c r="L11" s="74">
        <v>7</v>
      </c>
      <c r="M11" s="36">
        <v>45776</v>
      </c>
      <c r="N11" s="78"/>
      <c r="Q11" s="13"/>
    </row>
    <row r="12" spans="1:17">
      <c r="A12" s="32" t="s">
        <v>49</v>
      </c>
      <c r="B12" s="32" t="s">
        <v>50</v>
      </c>
      <c r="C12" s="33" t="s">
        <v>51</v>
      </c>
      <c r="D12" s="34" t="s">
        <v>52</v>
      </c>
      <c r="E12" s="32" t="s">
        <v>19</v>
      </c>
      <c r="F12" s="32" t="s">
        <v>42</v>
      </c>
      <c r="G12" s="32" t="s">
        <v>21</v>
      </c>
      <c r="H12" s="74">
        <v>2</v>
      </c>
      <c r="I12" s="75">
        <v>220</v>
      </c>
      <c r="J12" s="76">
        <v>137.5</v>
      </c>
      <c r="K12" s="35" t="s">
        <v>48</v>
      </c>
      <c r="L12" s="74">
        <v>8</v>
      </c>
      <c r="M12" s="36">
        <v>45636</v>
      </c>
      <c r="N12" s="78"/>
      <c r="Q12" s="13"/>
    </row>
    <row r="13" spans="1:17">
      <c r="A13" s="32" t="s">
        <v>53</v>
      </c>
      <c r="B13" s="32" t="s">
        <v>54</v>
      </c>
      <c r="C13" s="33" t="s">
        <v>55</v>
      </c>
      <c r="D13" s="34" t="s">
        <v>56</v>
      </c>
      <c r="E13" s="32" t="s">
        <v>19</v>
      </c>
      <c r="F13" s="32" t="s">
        <v>42</v>
      </c>
      <c r="G13" s="32" t="s">
        <v>21</v>
      </c>
      <c r="H13" s="74">
        <v>1</v>
      </c>
      <c r="I13" s="75">
        <v>150</v>
      </c>
      <c r="J13" s="76">
        <v>0</v>
      </c>
      <c r="K13" s="35" t="s">
        <v>28</v>
      </c>
      <c r="L13" s="74">
        <v>7</v>
      </c>
      <c r="M13" s="36">
        <v>45813</v>
      </c>
      <c r="N13" s="78"/>
      <c r="Q13" s="13"/>
    </row>
    <row r="14" spans="1:17">
      <c r="A14" s="32" t="s">
        <v>57</v>
      </c>
      <c r="B14" s="32" t="s">
        <v>58</v>
      </c>
      <c r="C14" s="33" t="s">
        <v>59</v>
      </c>
      <c r="D14" s="34" t="s">
        <v>60</v>
      </c>
      <c r="E14" s="32" t="s">
        <v>19</v>
      </c>
      <c r="F14" s="32" t="s">
        <v>42</v>
      </c>
      <c r="G14" s="32" t="s">
        <v>21</v>
      </c>
      <c r="H14" s="74">
        <v>3</v>
      </c>
      <c r="I14" s="75">
        <v>290</v>
      </c>
      <c r="J14" s="76">
        <v>58</v>
      </c>
      <c r="K14" s="35" t="s">
        <v>43</v>
      </c>
      <c r="L14" s="74">
        <v>5</v>
      </c>
      <c r="M14" s="36">
        <v>45734</v>
      </c>
      <c r="N14" s="78"/>
      <c r="Q14" s="13"/>
    </row>
    <row r="15" spans="1:17">
      <c r="A15" s="32" t="s">
        <v>61</v>
      </c>
      <c r="B15" s="32" t="s">
        <v>62</v>
      </c>
      <c r="C15" s="33" t="s">
        <v>63</v>
      </c>
      <c r="D15" s="34" t="s">
        <v>64</v>
      </c>
      <c r="E15" s="32" t="s">
        <v>41</v>
      </c>
      <c r="F15" s="32" t="s">
        <v>42</v>
      </c>
      <c r="G15" s="32" t="s">
        <v>27</v>
      </c>
      <c r="H15" s="74">
        <v>3</v>
      </c>
      <c r="I15" s="75">
        <v>290</v>
      </c>
      <c r="J15" s="76">
        <v>290</v>
      </c>
      <c r="K15" s="35" t="s">
        <v>48</v>
      </c>
      <c r="L15" s="74">
        <v>2</v>
      </c>
      <c r="M15" s="36">
        <v>45671</v>
      </c>
      <c r="N15" s="78">
        <v>45730</v>
      </c>
      <c r="Q15" s="13"/>
    </row>
    <row r="16" spans="1:17">
      <c r="A16" s="32" t="s">
        <v>65</v>
      </c>
      <c r="B16" s="32" t="s">
        <v>66</v>
      </c>
      <c r="C16" s="33" t="s">
        <v>67</v>
      </c>
      <c r="D16" s="34" t="s">
        <v>68</v>
      </c>
      <c r="E16" s="32" t="s">
        <v>41</v>
      </c>
      <c r="F16" s="32" t="s">
        <v>20</v>
      </c>
      <c r="G16" s="32" t="s">
        <v>21</v>
      </c>
      <c r="H16" s="74">
        <v>4</v>
      </c>
      <c r="I16" s="75">
        <v>360</v>
      </c>
      <c r="J16" s="76">
        <v>0</v>
      </c>
      <c r="K16" s="35" t="s">
        <v>22</v>
      </c>
      <c r="L16" s="74">
        <v>4</v>
      </c>
      <c r="M16" s="36">
        <v>45782</v>
      </c>
      <c r="N16" s="78"/>
      <c r="Q16" s="13"/>
    </row>
    <row r="17" spans="1:17">
      <c r="A17" s="32" t="s">
        <v>69</v>
      </c>
      <c r="B17" s="32" t="s">
        <v>70</v>
      </c>
      <c r="C17" s="33" t="s">
        <v>71</v>
      </c>
      <c r="D17" s="34" t="s">
        <v>72</v>
      </c>
      <c r="E17" s="32" t="s">
        <v>19</v>
      </c>
      <c r="F17" s="32" t="s">
        <v>42</v>
      </c>
      <c r="G17" s="32" t="s">
        <v>21</v>
      </c>
      <c r="H17" s="74">
        <v>2</v>
      </c>
      <c r="I17" s="75">
        <v>220</v>
      </c>
      <c r="J17" s="76">
        <v>31.43</v>
      </c>
      <c r="K17" s="35" t="s">
        <v>28</v>
      </c>
      <c r="L17" s="74">
        <v>7</v>
      </c>
      <c r="M17" s="36">
        <v>45758</v>
      </c>
      <c r="N17" s="78"/>
      <c r="Q17" s="13"/>
    </row>
    <row r="18" spans="1:17">
      <c r="A18" s="32" t="s">
        <v>73</v>
      </c>
      <c r="B18" s="32" t="s">
        <v>74</v>
      </c>
      <c r="C18" s="33" t="s">
        <v>75</v>
      </c>
      <c r="D18" s="34" t="s">
        <v>76</v>
      </c>
      <c r="E18" s="32" t="s">
        <v>19</v>
      </c>
      <c r="F18" s="32" t="s">
        <v>20</v>
      </c>
      <c r="G18" s="32" t="s">
        <v>27</v>
      </c>
      <c r="H18" s="74">
        <v>1</v>
      </c>
      <c r="I18" s="75">
        <v>150</v>
      </c>
      <c r="J18" s="76">
        <v>150</v>
      </c>
      <c r="K18" s="35" t="s">
        <v>48</v>
      </c>
      <c r="L18" s="74">
        <v>2</v>
      </c>
      <c r="M18" s="36">
        <v>45710</v>
      </c>
      <c r="N18" s="78">
        <v>45769</v>
      </c>
      <c r="Q18" s="13"/>
    </row>
    <row r="19" spans="1:17">
      <c r="A19" s="32" t="s">
        <v>77</v>
      </c>
      <c r="B19" s="32" t="s">
        <v>78</v>
      </c>
      <c r="C19" s="33" t="s">
        <v>79</v>
      </c>
      <c r="D19" s="34" t="s">
        <v>80</v>
      </c>
      <c r="E19" s="32" t="s">
        <v>41</v>
      </c>
      <c r="F19" s="32" t="s">
        <v>42</v>
      </c>
      <c r="G19" s="32" t="s">
        <v>21</v>
      </c>
      <c r="H19" s="74">
        <v>3</v>
      </c>
      <c r="I19" s="75">
        <v>290</v>
      </c>
      <c r="J19" s="76">
        <v>0</v>
      </c>
      <c r="K19" s="35" t="s">
        <v>43</v>
      </c>
      <c r="L19" s="74">
        <v>2</v>
      </c>
      <c r="M19" s="36">
        <v>45807</v>
      </c>
      <c r="N19" s="78"/>
      <c r="Q19" s="13"/>
    </row>
    <row r="20" spans="1:17">
      <c r="A20" s="32" t="s">
        <v>81</v>
      </c>
      <c r="B20" s="32" t="s">
        <v>82</v>
      </c>
      <c r="C20" s="33" t="s">
        <v>83</v>
      </c>
      <c r="D20" s="34" t="s">
        <v>84</v>
      </c>
      <c r="E20" s="32" t="s">
        <v>19</v>
      </c>
      <c r="F20" s="32" t="s">
        <v>42</v>
      </c>
      <c r="G20" s="32" t="s">
        <v>27</v>
      </c>
      <c r="H20" s="74">
        <v>3</v>
      </c>
      <c r="I20" s="75">
        <v>290</v>
      </c>
      <c r="J20" s="76">
        <v>82.86</v>
      </c>
      <c r="K20" s="35" t="s">
        <v>22</v>
      </c>
      <c r="L20" s="74">
        <v>7</v>
      </c>
      <c r="M20" s="36">
        <v>45725</v>
      </c>
      <c r="N20" s="78"/>
      <c r="Q20" s="13"/>
    </row>
    <row r="21" spans="1:17">
      <c r="A21" s="32" t="s">
        <v>85</v>
      </c>
      <c r="B21" s="32" t="s">
        <v>86</v>
      </c>
      <c r="C21" s="33" t="s">
        <v>87</v>
      </c>
      <c r="D21" s="34" t="s">
        <v>88</v>
      </c>
      <c r="E21" s="32" t="s">
        <v>41</v>
      </c>
      <c r="F21" s="32" t="s">
        <v>20</v>
      </c>
      <c r="G21" s="32" t="s">
        <v>21</v>
      </c>
      <c r="H21" s="74">
        <v>3</v>
      </c>
      <c r="I21" s="75">
        <v>290</v>
      </c>
      <c r="J21" s="76">
        <v>96.67</v>
      </c>
      <c r="K21" s="35" t="s">
        <v>48</v>
      </c>
      <c r="L21" s="74">
        <v>3</v>
      </c>
      <c r="M21" s="36">
        <v>45764</v>
      </c>
      <c r="N21" s="78"/>
      <c r="Q21" s="13"/>
    </row>
    <row r="22" spans="1:17">
      <c r="A22" s="32" t="s">
        <v>89</v>
      </c>
      <c r="B22" s="32" t="s">
        <v>90</v>
      </c>
      <c r="C22" s="33" t="s">
        <v>91</v>
      </c>
      <c r="D22" s="34" t="s">
        <v>92</v>
      </c>
      <c r="E22" s="32" t="s">
        <v>41</v>
      </c>
      <c r="F22" s="32" t="s">
        <v>20</v>
      </c>
      <c r="G22" s="32" t="s">
        <v>27</v>
      </c>
      <c r="H22" s="74">
        <v>4</v>
      </c>
      <c r="I22" s="75">
        <v>360</v>
      </c>
      <c r="J22" s="76">
        <v>1080</v>
      </c>
      <c r="K22" s="35" t="s">
        <v>28</v>
      </c>
      <c r="L22" s="74">
        <v>1</v>
      </c>
      <c r="M22" s="36">
        <v>45680</v>
      </c>
      <c r="N22" s="78"/>
      <c r="Q22" s="13"/>
    </row>
    <row r="23" spans="1:17">
      <c r="A23" s="32" t="s">
        <v>93</v>
      </c>
      <c r="B23" s="32" t="s">
        <v>94</v>
      </c>
      <c r="C23" s="33" t="s">
        <v>95</v>
      </c>
      <c r="D23" s="34" t="s">
        <v>96</v>
      </c>
      <c r="E23" s="32" t="s">
        <v>19</v>
      </c>
      <c r="F23" s="32" t="s">
        <v>42</v>
      </c>
      <c r="G23" s="32" t="s">
        <v>21</v>
      </c>
      <c r="H23" s="74">
        <v>1</v>
      </c>
      <c r="I23" s="75">
        <v>150</v>
      </c>
      <c r="J23" s="76">
        <v>107.15</v>
      </c>
      <c r="K23" s="35" t="s">
        <v>43</v>
      </c>
      <c r="L23" s="74">
        <v>7</v>
      </c>
      <c r="M23" s="36">
        <v>45626</v>
      </c>
      <c r="N23" s="78"/>
      <c r="Q23" s="13"/>
    </row>
    <row r="24" spans="1:17">
      <c r="A24" s="32" t="s">
        <v>97</v>
      </c>
      <c r="B24" s="32" t="s">
        <v>98</v>
      </c>
      <c r="C24" s="33" t="s">
        <v>99</v>
      </c>
      <c r="D24" s="34" t="s">
        <v>100</v>
      </c>
      <c r="E24" s="32" t="s">
        <v>19</v>
      </c>
      <c r="F24" s="32" t="s">
        <v>42</v>
      </c>
      <c r="G24" s="32" t="s">
        <v>27</v>
      </c>
      <c r="H24" s="74">
        <v>2</v>
      </c>
      <c r="I24" s="75">
        <v>220</v>
      </c>
      <c r="J24" s="76">
        <v>88</v>
      </c>
      <c r="K24" s="35" t="s">
        <v>22</v>
      </c>
      <c r="L24" s="74">
        <v>5</v>
      </c>
      <c r="M24" s="36">
        <v>45717</v>
      </c>
      <c r="N24" s="78"/>
      <c r="Q24" s="13"/>
    </row>
    <row r="25" spans="1:17">
      <c r="A25" s="32" t="s">
        <v>101</v>
      </c>
      <c r="B25" s="32" t="s">
        <v>102</v>
      </c>
      <c r="C25" s="33" t="s">
        <v>103</v>
      </c>
      <c r="D25" s="34" t="s">
        <v>104</v>
      </c>
      <c r="E25" s="32" t="s">
        <v>41</v>
      </c>
      <c r="F25" s="32" t="s">
        <v>42</v>
      </c>
      <c r="G25" s="32" t="s">
        <v>21</v>
      </c>
      <c r="H25" s="74">
        <v>3</v>
      </c>
      <c r="I25" s="75">
        <v>290</v>
      </c>
      <c r="J25" s="76">
        <v>0</v>
      </c>
      <c r="K25" s="35" t="s">
        <v>48</v>
      </c>
      <c r="L25" s="74">
        <v>6</v>
      </c>
      <c r="M25" s="36">
        <v>45796</v>
      </c>
      <c r="N25" s="78"/>
      <c r="Q25" s="13"/>
    </row>
    <row r="26" spans="1:17">
      <c r="A26" s="32" t="s">
        <v>105</v>
      </c>
      <c r="B26" s="32" t="s">
        <v>106</v>
      </c>
      <c r="C26" s="33" t="s">
        <v>107</v>
      </c>
      <c r="D26" s="34" t="s">
        <v>108</v>
      </c>
      <c r="E26" s="32" t="s">
        <v>19</v>
      </c>
      <c r="F26" s="32" t="s">
        <v>20</v>
      </c>
      <c r="G26" s="32" t="s">
        <v>27</v>
      </c>
      <c r="H26" s="74">
        <v>4</v>
      </c>
      <c r="I26" s="75">
        <v>360</v>
      </c>
      <c r="J26" s="76">
        <v>120</v>
      </c>
      <c r="K26" s="35" t="s">
        <v>28</v>
      </c>
      <c r="L26" s="74">
        <v>3</v>
      </c>
      <c r="M26" s="36">
        <v>45761</v>
      </c>
      <c r="N26" s="78"/>
      <c r="Q26" s="13"/>
    </row>
    <row r="27" spans="1:17">
      <c r="A27" s="32" t="s">
        <v>109</v>
      </c>
      <c r="B27" s="32" t="s">
        <v>110</v>
      </c>
      <c r="C27" s="33" t="s">
        <v>111</v>
      </c>
      <c r="D27" s="34" t="s">
        <v>112</v>
      </c>
      <c r="E27" s="32" t="s">
        <v>41</v>
      </c>
      <c r="F27" s="32" t="s">
        <v>42</v>
      </c>
      <c r="G27" s="32" t="s">
        <v>21</v>
      </c>
      <c r="H27" s="74">
        <v>2</v>
      </c>
      <c r="I27" s="75">
        <v>220</v>
      </c>
      <c r="J27" s="76">
        <v>220</v>
      </c>
      <c r="K27" s="35" t="s">
        <v>43</v>
      </c>
      <c r="L27" s="74">
        <v>8</v>
      </c>
      <c r="M27" s="36">
        <v>45575</v>
      </c>
      <c r="N27" s="78">
        <v>45818</v>
      </c>
      <c r="Q27" s="13"/>
    </row>
    <row r="28" spans="1:17">
      <c r="A28" s="32" t="s">
        <v>113</v>
      </c>
      <c r="B28" s="32" t="s">
        <v>114</v>
      </c>
      <c r="C28" s="33" t="s">
        <v>115</v>
      </c>
      <c r="D28" s="34" t="s">
        <v>116</v>
      </c>
      <c r="E28" s="32" t="s">
        <v>41</v>
      </c>
      <c r="F28" s="32" t="s">
        <v>20</v>
      </c>
      <c r="G28" s="32" t="s">
        <v>27</v>
      </c>
      <c r="H28" s="74">
        <v>3</v>
      </c>
      <c r="I28" s="75">
        <v>290</v>
      </c>
      <c r="J28" s="76">
        <v>290</v>
      </c>
      <c r="K28" s="35" t="s">
        <v>22</v>
      </c>
      <c r="L28" s="74">
        <v>2</v>
      </c>
      <c r="M28" s="36">
        <v>45631</v>
      </c>
      <c r="N28" s="78">
        <v>45693</v>
      </c>
      <c r="Q28" s="13"/>
    </row>
    <row r="29" spans="1:17">
      <c r="A29" s="32" t="s">
        <v>117</v>
      </c>
      <c r="B29" s="32" t="s">
        <v>118</v>
      </c>
      <c r="C29" s="33" t="s">
        <v>119</v>
      </c>
      <c r="D29" s="34" t="s">
        <v>120</v>
      </c>
      <c r="E29" s="32" t="s">
        <v>19</v>
      </c>
      <c r="F29" s="32" t="s">
        <v>20</v>
      </c>
      <c r="G29" s="32" t="s">
        <v>21</v>
      </c>
      <c r="H29" s="74">
        <v>4</v>
      </c>
      <c r="I29" s="75">
        <v>360</v>
      </c>
      <c r="J29" s="76">
        <v>360</v>
      </c>
      <c r="K29" s="35" t="s">
        <v>48</v>
      </c>
      <c r="L29" s="74">
        <v>3</v>
      </c>
      <c r="M29" s="36">
        <v>45677</v>
      </c>
      <c r="N29" s="78">
        <v>45767</v>
      </c>
      <c r="Q29" s="13"/>
    </row>
    <row r="30" spans="1:17">
      <c r="A30" s="32" t="s">
        <v>57</v>
      </c>
      <c r="B30" s="32" t="s">
        <v>121</v>
      </c>
      <c r="C30" s="33" t="s">
        <v>122</v>
      </c>
      <c r="D30" s="34" t="s">
        <v>123</v>
      </c>
      <c r="E30" s="32" t="s">
        <v>19</v>
      </c>
      <c r="F30" s="32" t="s">
        <v>42</v>
      </c>
      <c r="G30" s="32" t="s">
        <v>27</v>
      </c>
      <c r="H30" s="74">
        <v>3</v>
      </c>
      <c r="I30" s="75">
        <v>290</v>
      </c>
      <c r="J30" s="76">
        <v>0</v>
      </c>
      <c r="K30" s="35" t="s">
        <v>28</v>
      </c>
      <c r="L30" s="74">
        <v>5</v>
      </c>
      <c r="M30" s="36">
        <v>45824</v>
      </c>
      <c r="N30" s="78"/>
      <c r="Q30" s="13"/>
    </row>
    <row r="31" spans="1:17">
      <c r="A31" s="32" t="s">
        <v>109</v>
      </c>
      <c r="B31" s="32" t="s">
        <v>82</v>
      </c>
      <c r="C31" s="33" t="s">
        <v>124</v>
      </c>
      <c r="D31" s="34" t="s">
        <v>125</v>
      </c>
      <c r="E31" s="32" t="s">
        <v>41</v>
      </c>
      <c r="F31" s="32" t="s">
        <v>20</v>
      </c>
      <c r="G31" s="32" t="s">
        <v>21</v>
      </c>
      <c r="H31" s="74">
        <v>3</v>
      </c>
      <c r="I31" s="75">
        <v>290</v>
      </c>
      <c r="J31" s="76">
        <v>116</v>
      </c>
      <c r="K31" s="35" t="s">
        <v>43</v>
      </c>
      <c r="L31" s="74">
        <v>5</v>
      </c>
      <c r="M31" s="36">
        <v>45724</v>
      </c>
      <c r="N31" s="78"/>
      <c r="Q31" s="13"/>
    </row>
    <row r="32" spans="1:17">
      <c r="A32" s="32" t="s">
        <v>61</v>
      </c>
      <c r="B32" s="32" t="s">
        <v>62</v>
      </c>
      <c r="C32" s="33" t="s">
        <v>126</v>
      </c>
      <c r="D32" s="34" t="s">
        <v>127</v>
      </c>
      <c r="E32" s="32" t="s">
        <v>19</v>
      </c>
      <c r="F32" s="32" t="s">
        <v>42</v>
      </c>
      <c r="G32" s="32" t="s">
        <v>27</v>
      </c>
      <c r="H32" s="74">
        <v>2</v>
      </c>
      <c r="I32" s="75">
        <v>220</v>
      </c>
      <c r="J32" s="76">
        <v>220</v>
      </c>
      <c r="K32" s="35" t="s">
        <v>22</v>
      </c>
      <c r="L32" s="74">
        <v>7</v>
      </c>
      <c r="M32" s="36">
        <v>45608</v>
      </c>
      <c r="N32" s="78">
        <v>45820</v>
      </c>
      <c r="Q32" s="13"/>
    </row>
    <row r="33" spans="1:17">
      <c r="A33" s="32" t="s">
        <v>85</v>
      </c>
      <c r="B33" s="32" t="s">
        <v>128</v>
      </c>
      <c r="C33" s="33" t="s">
        <v>129</v>
      </c>
      <c r="D33" s="34" t="s">
        <v>104</v>
      </c>
      <c r="E33" s="32" t="s">
        <v>41</v>
      </c>
      <c r="F33" s="32" t="s">
        <v>42</v>
      </c>
      <c r="G33" s="32" t="s">
        <v>21</v>
      </c>
      <c r="H33" s="74">
        <v>1</v>
      </c>
      <c r="I33" s="75">
        <v>150</v>
      </c>
      <c r="J33" s="76">
        <v>150</v>
      </c>
      <c r="K33" s="35" t="s">
        <v>48</v>
      </c>
      <c r="L33" s="74">
        <v>3</v>
      </c>
      <c r="M33" s="36">
        <v>45716</v>
      </c>
      <c r="N33" s="78">
        <v>45805</v>
      </c>
      <c r="Q33" s="13"/>
    </row>
    <row r="34" spans="1:17">
      <c r="A34" s="32" t="s">
        <v>65</v>
      </c>
      <c r="B34" s="32" t="s">
        <v>98</v>
      </c>
      <c r="C34" s="33" t="s">
        <v>130</v>
      </c>
      <c r="D34" s="34" t="s">
        <v>131</v>
      </c>
      <c r="E34" s="32" t="s">
        <v>41</v>
      </c>
      <c r="F34" s="32" t="s">
        <v>20</v>
      </c>
      <c r="G34" s="32" t="s">
        <v>27</v>
      </c>
      <c r="H34" s="74">
        <v>4</v>
      </c>
      <c r="I34" s="75">
        <v>360</v>
      </c>
      <c r="J34" s="76">
        <v>0</v>
      </c>
      <c r="K34" s="35" t="s">
        <v>28</v>
      </c>
      <c r="L34" s="74">
        <v>5</v>
      </c>
      <c r="M34" s="36">
        <v>45768</v>
      </c>
      <c r="N34" s="78"/>
      <c r="Q34" s="13"/>
    </row>
    <row r="35" spans="1:17">
      <c r="A35" s="32" t="s">
        <v>69</v>
      </c>
      <c r="B35" s="32" t="s">
        <v>58</v>
      </c>
      <c r="C35" s="33" t="s">
        <v>132</v>
      </c>
      <c r="D35" s="34" t="s">
        <v>133</v>
      </c>
      <c r="E35" s="32" t="s">
        <v>19</v>
      </c>
      <c r="F35" s="32" t="s">
        <v>42</v>
      </c>
      <c r="G35" s="32" t="s">
        <v>21</v>
      </c>
      <c r="H35" s="74">
        <v>1</v>
      </c>
      <c r="I35" s="75">
        <v>150</v>
      </c>
      <c r="J35" s="76">
        <v>0</v>
      </c>
      <c r="K35" s="35" t="s">
        <v>43</v>
      </c>
      <c r="L35" s="74">
        <v>1</v>
      </c>
      <c r="M35" s="36">
        <v>45823</v>
      </c>
      <c r="N35" s="78"/>
      <c r="Q35" s="13"/>
    </row>
    <row r="36" spans="1:17">
      <c r="A36" s="32" t="s">
        <v>73</v>
      </c>
      <c r="B36" s="32" t="s">
        <v>134</v>
      </c>
      <c r="C36" s="33" t="s">
        <v>135</v>
      </c>
      <c r="D36" s="34" t="s">
        <v>136</v>
      </c>
      <c r="E36" s="32" t="s">
        <v>41</v>
      </c>
      <c r="F36" s="32" t="s">
        <v>42</v>
      </c>
      <c r="G36" s="32" t="s">
        <v>27</v>
      </c>
      <c r="H36" s="74">
        <v>3</v>
      </c>
      <c r="I36" s="75">
        <v>290</v>
      </c>
      <c r="J36" s="76">
        <v>290</v>
      </c>
      <c r="K36" s="35" t="s">
        <v>22</v>
      </c>
      <c r="L36" s="74">
        <v>3</v>
      </c>
      <c r="M36" s="36">
        <v>45574</v>
      </c>
      <c r="N36" s="78">
        <v>45666</v>
      </c>
      <c r="Q36" s="13"/>
    </row>
    <row r="37" spans="1:17">
      <c r="A37" s="32" t="s">
        <v>77</v>
      </c>
      <c r="B37" s="32" t="s">
        <v>137</v>
      </c>
      <c r="C37" s="33" t="s">
        <v>138</v>
      </c>
      <c r="D37" s="34" t="s">
        <v>84</v>
      </c>
      <c r="E37" s="32" t="s">
        <v>41</v>
      </c>
      <c r="F37" s="32" t="s">
        <v>20</v>
      </c>
      <c r="G37" s="32" t="s">
        <v>21</v>
      </c>
      <c r="H37" s="74">
        <v>3</v>
      </c>
      <c r="I37" s="75">
        <v>290</v>
      </c>
      <c r="J37" s="76">
        <v>290</v>
      </c>
      <c r="K37" s="35" t="s">
        <v>48</v>
      </c>
      <c r="L37" s="74">
        <v>3</v>
      </c>
      <c r="M37" s="36">
        <v>45629</v>
      </c>
      <c r="N37" s="78">
        <v>45719</v>
      </c>
      <c r="Q37" s="13"/>
    </row>
    <row r="38" spans="1:17">
      <c r="A38" s="32" t="s">
        <v>81</v>
      </c>
      <c r="B38" s="32" t="s">
        <v>110</v>
      </c>
      <c r="C38" s="33" t="s">
        <v>139</v>
      </c>
      <c r="D38" s="34" t="s">
        <v>140</v>
      </c>
      <c r="E38" s="32" t="s">
        <v>19</v>
      </c>
      <c r="F38" s="32" t="s">
        <v>20</v>
      </c>
      <c r="G38" s="32" t="s">
        <v>27</v>
      </c>
      <c r="H38" s="74">
        <v>3</v>
      </c>
      <c r="I38" s="75">
        <v>290</v>
      </c>
      <c r="J38" s="76">
        <v>174</v>
      </c>
      <c r="K38" s="35" t="s">
        <v>28</v>
      </c>
      <c r="L38" s="74">
        <v>5</v>
      </c>
      <c r="M38" s="36">
        <v>45675</v>
      </c>
      <c r="N38" s="78"/>
      <c r="Q38" s="13"/>
    </row>
    <row r="39" spans="1:17">
      <c r="A39" s="32" t="s">
        <v>57</v>
      </c>
      <c r="B39" s="32" t="s">
        <v>106</v>
      </c>
      <c r="C39" s="33" t="s">
        <v>141</v>
      </c>
      <c r="D39" s="34" t="s">
        <v>142</v>
      </c>
      <c r="E39" s="32" t="s">
        <v>19</v>
      </c>
      <c r="F39" s="32" t="s">
        <v>42</v>
      </c>
      <c r="G39" s="32" t="s">
        <v>21</v>
      </c>
      <c r="H39" s="74">
        <v>1</v>
      </c>
      <c r="I39" s="75">
        <v>150</v>
      </c>
      <c r="J39" s="76">
        <v>60</v>
      </c>
      <c r="K39" s="35" t="s">
        <v>43</v>
      </c>
      <c r="L39" s="74">
        <v>5</v>
      </c>
      <c r="M39" s="36">
        <v>45730</v>
      </c>
      <c r="N39" s="78"/>
      <c r="Q39" s="13"/>
    </row>
    <row r="40" spans="1:17">
      <c r="A40" s="32" t="s">
        <v>109</v>
      </c>
      <c r="B40" s="32" t="s">
        <v>90</v>
      </c>
      <c r="C40" s="33" t="s">
        <v>143</v>
      </c>
      <c r="D40" s="34" t="s">
        <v>144</v>
      </c>
      <c r="E40" s="32" t="s">
        <v>41</v>
      </c>
      <c r="F40" s="32" t="s">
        <v>20</v>
      </c>
      <c r="G40" s="32" t="s">
        <v>27</v>
      </c>
      <c r="H40" s="74">
        <v>4</v>
      </c>
      <c r="I40" s="75">
        <v>360</v>
      </c>
      <c r="J40" s="76">
        <v>0</v>
      </c>
      <c r="K40" s="35" t="s">
        <v>22</v>
      </c>
      <c r="L40" s="74">
        <v>2</v>
      </c>
      <c r="M40" s="36">
        <v>45784</v>
      </c>
      <c r="N40" s="78"/>
      <c r="Q40" s="13"/>
    </row>
    <row r="41" spans="1:17">
      <c r="A41" s="32" t="s">
        <v>61</v>
      </c>
      <c r="B41" s="32" t="s">
        <v>86</v>
      </c>
      <c r="C41" s="33" t="s">
        <v>145</v>
      </c>
      <c r="D41" s="34" t="s">
        <v>146</v>
      </c>
      <c r="E41" s="32" t="s">
        <v>19</v>
      </c>
      <c r="F41" s="32" t="s">
        <v>42</v>
      </c>
      <c r="G41" s="32" t="s">
        <v>21</v>
      </c>
      <c r="H41" s="74">
        <v>4</v>
      </c>
      <c r="I41" s="75">
        <v>360</v>
      </c>
      <c r="J41" s="76">
        <v>0</v>
      </c>
      <c r="K41" s="35" t="s">
        <v>48</v>
      </c>
      <c r="L41" s="74">
        <v>2</v>
      </c>
      <c r="M41" s="36">
        <v>45807</v>
      </c>
      <c r="N41" s="78"/>
      <c r="Q41" s="13"/>
    </row>
    <row r="42" spans="1:17">
      <c r="A42" s="32" t="s">
        <v>85</v>
      </c>
      <c r="B42" s="32" t="s">
        <v>74</v>
      </c>
      <c r="C42" s="33" t="s">
        <v>147</v>
      </c>
      <c r="D42" s="34" t="s">
        <v>148</v>
      </c>
      <c r="E42" s="32" t="s">
        <v>19</v>
      </c>
      <c r="F42" s="32" t="s">
        <v>42</v>
      </c>
      <c r="G42" s="32" t="s">
        <v>27</v>
      </c>
      <c r="H42" s="74">
        <v>1</v>
      </c>
      <c r="I42" s="75">
        <v>150</v>
      </c>
      <c r="J42" s="76">
        <v>150</v>
      </c>
      <c r="K42" s="35" t="s">
        <v>28</v>
      </c>
      <c r="L42" s="74">
        <v>5</v>
      </c>
      <c r="M42" s="36">
        <v>45559</v>
      </c>
      <c r="N42" s="78">
        <v>45712</v>
      </c>
      <c r="Q42" s="13"/>
    </row>
    <row r="43" spans="1:17">
      <c r="A43" s="32" t="s">
        <v>65</v>
      </c>
      <c r="B43" s="32" t="s">
        <v>82</v>
      </c>
      <c r="C43" s="33" t="s">
        <v>149</v>
      </c>
      <c r="D43" s="34" t="s">
        <v>104</v>
      </c>
      <c r="E43" s="32" t="s">
        <v>41</v>
      </c>
      <c r="F43" s="32" t="s">
        <v>20</v>
      </c>
      <c r="G43" s="32" t="s">
        <v>21</v>
      </c>
      <c r="H43" s="74">
        <v>1</v>
      </c>
      <c r="I43" s="75">
        <v>150</v>
      </c>
      <c r="J43" s="76">
        <v>150</v>
      </c>
      <c r="K43" s="35" t="s">
        <v>43</v>
      </c>
      <c r="L43" s="74">
        <v>1</v>
      </c>
      <c r="M43" s="36">
        <v>45609</v>
      </c>
      <c r="N43" s="78">
        <v>45639</v>
      </c>
      <c r="Q43" s="13"/>
    </row>
    <row r="44" spans="1:17">
      <c r="A44" s="32" t="s">
        <v>69</v>
      </c>
      <c r="B44" s="32" t="s">
        <v>98</v>
      </c>
      <c r="C44" s="33" t="s">
        <v>150</v>
      </c>
      <c r="D44" s="34" t="s">
        <v>131</v>
      </c>
      <c r="E44" s="32" t="s">
        <v>19</v>
      </c>
      <c r="F44" s="32" t="s">
        <v>42</v>
      </c>
      <c r="G44" s="32" t="s">
        <v>27</v>
      </c>
      <c r="H44" s="74">
        <v>2</v>
      </c>
      <c r="I44" s="75">
        <v>220</v>
      </c>
      <c r="J44" s="76">
        <v>220</v>
      </c>
      <c r="K44" s="35" t="s">
        <v>22</v>
      </c>
      <c r="L44" s="74">
        <v>1</v>
      </c>
      <c r="M44" s="36">
        <v>45662</v>
      </c>
      <c r="N44" s="78">
        <v>45693</v>
      </c>
      <c r="Q44" s="13"/>
    </row>
    <row r="45" spans="1:17">
      <c r="A45" s="32" t="s">
        <v>73</v>
      </c>
      <c r="B45" s="32" t="s">
        <v>106</v>
      </c>
      <c r="C45" s="33" t="s">
        <v>151</v>
      </c>
      <c r="D45" s="34" t="s">
        <v>133</v>
      </c>
      <c r="E45" s="32" t="s">
        <v>41</v>
      </c>
      <c r="F45" s="32" t="s">
        <v>20</v>
      </c>
      <c r="G45" s="32" t="s">
        <v>21</v>
      </c>
      <c r="H45" s="74">
        <v>1</v>
      </c>
      <c r="I45" s="75">
        <v>150</v>
      </c>
      <c r="J45" s="76">
        <v>50</v>
      </c>
      <c r="K45" s="35" t="s">
        <v>48</v>
      </c>
      <c r="L45" s="74">
        <v>6</v>
      </c>
      <c r="M45" s="36">
        <v>45710</v>
      </c>
      <c r="N45" s="78"/>
      <c r="Q45" s="13"/>
    </row>
    <row r="46" spans="1:17">
      <c r="A46" s="32" t="s">
        <v>77</v>
      </c>
      <c r="B46" s="32" t="s">
        <v>134</v>
      </c>
      <c r="C46" s="33" t="s">
        <v>152</v>
      </c>
      <c r="D46" s="34" t="s">
        <v>136</v>
      </c>
      <c r="E46" s="32" t="s">
        <v>41</v>
      </c>
      <c r="F46" s="32" t="s">
        <v>20</v>
      </c>
      <c r="G46" s="32" t="s">
        <v>27</v>
      </c>
      <c r="H46" s="74">
        <v>4</v>
      </c>
      <c r="I46" s="75">
        <v>360</v>
      </c>
      <c r="J46" s="76">
        <v>60</v>
      </c>
      <c r="K46" s="35" t="s">
        <v>28</v>
      </c>
      <c r="L46" s="74">
        <v>6</v>
      </c>
      <c r="M46" s="36">
        <v>45755</v>
      </c>
      <c r="N46" s="78"/>
      <c r="Q46" s="13"/>
    </row>
    <row r="47" spans="1:17">
      <c r="A47" s="32" t="s">
        <v>81</v>
      </c>
      <c r="B47" s="32" t="s">
        <v>137</v>
      </c>
      <c r="C47" s="33" t="s">
        <v>153</v>
      </c>
      <c r="D47" s="34" t="s">
        <v>84</v>
      </c>
      <c r="E47" s="32" t="s">
        <v>19</v>
      </c>
      <c r="F47" s="32" t="s">
        <v>42</v>
      </c>
      <c r="G47" s="32" t="s">
        <v>21</v>
      </c>
      <c r="H47" s="74">
        <v>4</v>
      </c>
      <c r="I47" s="75">
        <v>360</v>
      </c>
      <c r="J47" s="76">
        <v>0</v>
      </c>
      <c r="K47" s="35" t="s">
        <v>43</v>
      </c>
      <c r="L47" s="74">
        <v>6</v>
      </c>
      <c r="M47" s="36">
        <v>45824</v>
      </c>
      <c r="N47" s="78"/>
      <c r="Q47" s="13"/>
    </row>
    <row r="48" spans="1:17">
      <c r="A48" s="32" t="s">
        <v>57</v>
      </c>
      <c r="B48" s="32" t="s">
        <v>110</v>
      </c>
      <c r="C48" s="33" t="s">
        <v>154</v>
      </c>
      <c r="D48" s="34" t="s">
        <v>140</v>
      </c>
      <c r="E48" s="32" t="s">
        <v>41</v>
      </c>
      <c r="F48" s="32" t="s">
        <v>42</v>
      </c>
      <c r="G48" s="32" t="s">
        <v>27</v>
      </c>
      <c r="H48" s="74">
        <v>4</v>
      </c>
      <c r="I48" s="75">
        <v>360</v>
      </c>
      <c r="J48" s="76">
        <v>180</v>
      </c>
      <c r="K48" s="35" t="s">
        <v>22</v>
      </c>
      <c r="L48" s="74">
        <v>4</v>
      </c>
      <c r="M48" s="36">
        <v>45717</v>
      </c>
      <c r="N48" s="78"/>
      <c r="Q48" s="13"/>
    </row>
    <row r="49" spans="1:17">
      <c r="A49" s="32" t="s">
        <v>109</v>
      </c>
      <c r="B49" s="32" t="s">
        <v>106</v>
      </c>
      <c r="C49" s="33" t="s">
        <v>155</v>
      </c>
      <c r="D49" s="34" t="s">
        <v>142</v>
      </c>
      <c r="E49" s="32" t="s">
        <v>41</v>
      </c>
      <c r="F49" s="32" t="s">
        <v>20</v>
      </c>
      <c r="G49" s="32" t="s">
        <v>21</v>
      </c>
      <c r="H49" s="74">
        <v>3</v>
      </c>
      <c r="I49" s="75">
        <v>290</v>
      </c>
      <c r="J49" s="76">
        <v>290</v>
      </c>
      <c r="K49" s="35" t="s">
        <v>48</v>
      </c>
      <c r="L49" s="74">
        <v>4</v>
      </c>
      <c r="M49" s="36">
        <v>45575</v>
      </c>
      <c r="N49" s="78">
        <v>45698</v>
      </c>
      <c r="Q49" s="13"/>
    </row>
    <row r="50" spans="1:17">
      <c r="A50" s="32" t="s">
        <v>61</v>
      </c>
      <c r="B50" s="32" t="s">
        <v>90</v>
      </c>
      <c r="C50" s="33" t="s">
        <v>156</v>
      </c>
      <c r="D50" s="34" t="s">
        <v>144</v>
      </c>
      <c r="E50" s="32" t="s">
        <v>19</v>
      </c>
      <c r="F50" s="32" t="s">
        <v>42</v>
      </c>
      <c r="G50" s="32" t="s">
        <v>27</v>
      </c>
      <c r="H50" s="74">
        <v>3</v>
      </c>
      <c r="I50" s="75">
        <v>290</v>
      </c>
      <c r="J50" s="76">
        <v>290</v>
      </c>
      <c r="K50" s="35" t="s">
        <v>28</v>
      </c>
      <c r="L50" s="74">
        <v>4</v>
      </c>
      <c r="M50" s="36">
        <v>45651</v>
      </c>
      <c r="N50" s="78">
        <v>45772</v>
      </c>
      <c r="Q50" s="13"/>
    </row>
    <row r="51" spans="1:17">
      <c r="A51" s="32" t="s">
        <v>85</v>
      </c>
      <c r="B51" s="32" t="s">
        <v>86</v>
      </c>
      <c r="C51" s="33" t="s">
        <v>87</v>
      </c>
      <c r="D51" s="34" t="s">
        <v>127</v>
      </c>
      <c r="E51" s="32" t="s">
        <v>19</v>
      </c>
      <c r="F51" s="32" t="s">
        <v>20</v>
      </c>
      <c r="G51" s="32" t="s">
        <v>21</v>
      </c>
      <c r="H51" s="74">
        <v>2</v>
      </c>
      <c r="I51" s="75">
        <v>220</v>
      </c>
      <c r="J51" s="76">
        <v>73.34</v>
      </c>
      <c r="K51" s="35" t="s">
        <v>43</v>
      </c>
      <c r="L51" s="74">
        <v>6</v>
      </c>
      <c r="M51" s="36">
        <v>45707</v>
      </c>
      <c r="N51" s="78"/>
      <c r="Q51" s="13"/>
    </row>
    <row r="52" spans="1:17">
      <c r="A52" s="32" t="s">
        <v>65</v>
      </c>
      <c r="B52" s="32" t="s">
        <v>128</v>
      </c>
      <c r="C52" s="33" t="s">
        <v>157</v>
      </c>
      <c r="D52" s="34" t="s">
        <v>158</v>
      </c>
      <c r="E52" s="32" t="s">
        <v>41</v>
      </c>
      <c r="F52" s="32" t="s">
        <v>20</v>
      </c>
      <c r="G52" s="32" t="s">
        <v>27</v>
      </c>
      <c r="H52" s="74">
        <v>3</v>
      </c>
      <c r="I52" s="75">
        <v>290</v>
      </c>
      <c r="J52" s="76">
        <v>0</v>
      </c>
      <c r="K52" s="35" t="s">
        <v>22</v>
      </c>
      <c r="L52" s="74">
        <v>2</v>
      </c>
      <c r="M52" s="36">
        <v>45782</v>
      </c>
      <c r="N52" s="78"/>
      <c r="Q52" s="13"/>
    </row>
    <row r="53" spans="1:17">
      <c r="A53" s="32" t="s">
        <v>69</v>
      </c>
      <c r="B53" s="32" t="s">
        <v>82</v>
      </c>
      <c r="C53" s="33" t="s">
        <v>159</v>
      </c>
      <c r="D53" s="34" t="s">
        <v>160</v>
      </c>
      <c r="E53" s="32" t="s">
        <v>19</v>
      </c>
      <c r="F53" s="32" t="s">
        <v>42</v>
      </c>
      <c r="G53" s="32" t="s">
        <v>21</v>
      </c>
      <c r="H53" s="74">
        <v>3</v>
      </c>
      <c r="I53" s="75">
        <v>290</v>
      </c>
      <c r="J53" s="76">
        <v>0</v>
      </c>
      <c r="K53" s="35" t="s">
        <v>48</v>
      </c>
      <c r="L53" s="74">
        <v>2</v>
      </c>
      <c r="M53" s="36">
        <v>45789</v>
      </c>
      <c r="N53" s="78"/>
      <c r="Q53" s="13"/>
    </row>
    <row r="54" spans="1:17">
      <c r="A54" s="32" t="s">
        <v>73</v>
      </c>
      <c r="B54" s="32" t="s">
        <v>98</v>
      </c>
      <c r="C54" s="33" t="s">
        <v>161</v>
      </c>
      <c r="D54" s="34" t="s">
        <v>162</v>
      </c>
      <c r="E54" s="32" t="s">
        <v>41</v>
      </c>
      <c r="F54" s="32" t="s">
        <v>42</v>
      </c>
      <c r="G54" s="32" t="s">
        <v>27</v>
      </c>
      <c r="H54" s="74">
        <v>1</v>
      </c>
      <c r="I54" s="75">
        <v>150</v>
      </c>
      <c r="J54" s="76">
        <v>150</v>
      </c>
      <c r="K54" s="35" t="s">
        <v>28</v>
      </c>
      <c r="L54" s="74">
        <v>4</v>
      </c>
      <c r="M54" s="36">
        <v>45563</v>
      </c>
      <c r="N54" s="78">
        <v>45685</v>
      </c>
      <c r="Q54" s="13"/>
    </row>
    <row r="55" spans="1:17">
      <c r="A55" s="32" t="s">
        <v>77</v>
      </c>
      <c r="B55" s="32" t="s">
        <v>58</v>
      </c>
      <c r="C55" s="33" t="s">
        <v>163</v>
      </c>
      <c r="D55" s="34" t="s">
        <v>108</v>
      </c>
      <c r="E55" s="32" t="s">
        <v>41</v>
      </c>
      <c r="F55" s="32" t="s">
        <v>42</v>
      </c>
      <c r="G55" s="32" t="s">
        <v>21</v>
      </c>
      <c r="H55" s="74">
        <v>4</v>
      </c>
      <c r="I55" s="75">
        <v>360</v>
      </c>
      <c r="J55" s="76">
        <v>360</v>
      </c>
      <c r="K55" s="35" t="s">
        <v>43</v>
      </c>
      <c r="L55" s="74">
        <v>5</v>
      </c>
      <c r="M55" s="36">
        <v>45610</v>
      </c>
      <c r="N55" s="78">
        <v>45761</v>
      </c>
      <c r="Q55" s="13"/>
    </row>
    <row r="56" spans="1:17">
      <c r="A56" s="32" t="s">
        <v>81</v>
      </c>
      <c r="B56" s="32" t="s">
        <v>134</v>
      </c>
      <c r="C56" s="33" t="s">
        <v>164</v>
      </c>
      <c r="D56" s="34" t="s">
        <v>112</v>
      </c>
      <c r="E56" s="32" t="s">
        <v>19</v>
      </c>
      <c r="F56" s="32" t="s">
        <v>20</v>
      </c>
      <c r="G56" s="32" t="s">
        <v>27</v>
      </c>
      <c r="H56" s="74">
        <v>3</v>
      </c>
      <c r="I56" s="75">
        <v>290</v>
      </c>
      <c r="J56" s="76">
        <v>174</v>
      </c>
      <c r="K56" s="35" t="s">
        <v>22</v>
      </c>
      <c r="L56" s="74">
        <v>5</v>
      </c>
      <c r="M56" s="36">
        <v>45677</v>
      </c>
      <c r="N56" s="78"/>
      <c r="Q56" s="13"/>
    </row>
    <row r="57" spans="1:17">
      <c r="A57" s="32" t="s">
        <v>57</v>
      </c>
      <c r="B57" s="32" t="s">
        <v>137</v>
      </c>
      <c r="C57" s="33" t="s">
        <v>165</v>
      </c>
      <c r="D57" s="34" t="s">
        <v>116</v>
      </c>
      <c r="E57" s="32" t="s">
        <v>19</v>
      </c>
      <c r="F57" s="32" t="s">
        <v>42</v>
      </c>
      <c r="G57" s="32" t="s">
        <v>21</v>
      </c>
      <c r="H57" s="74">
        <v>1</v>
      </c>
      <c r="I57" s="75">
        <v>150</v>
      </c>
      <c r="J57" s="76">
        <v>60</v>
      </c>
      <c r="K57" s="35" t="s">
        <v>48</v>
      </c>
      <c r="L57" s="74">
        <v>5</v>
      </c>
      <c r="M57" s="36">
        <v>45721</v>
      </c>
      <c r="N57" s="78"/>
      <c r="Q57" s="13"/>
    </row>
    <row r="58" spans="1:17">
      <c r="A58" s="32" t="s">
        <v>109</v>
      </c>
      <c r="B58" s="32" t="s">
        <v>110</v>
      </c>
      <c r="C58" s="33" t="s">
        <v>166</v>
      </c>
      <c r="D58" s="34" t="s">
        <v>120</v>
      </c>
      <c r="E58" s="32" t="s">
        <v>41</v>
      </c>
      <c r="F58" s="32" t="s">
        <v>20</v>
      </c>
      <c r="G58" s="32" t="s">
        <v>27</v>
      </c>
      <c r="H58" s="74">
        <v>2</v>
      </c>
      <c r="I58" s="75">
        <v>220</v>
      </c>
      <c r="J58" s="76">
        <v>0</v>
      </c>
      <c r="K58" s="35" t="s">
        <v>28</v>
      </c>
      <c r="L58" s="74">
        <v>8</v>
      </c>
      <c r="M58" s="36">
        <v>45795</v>
      </c>
      <c r="N58" s="78"/>
      <c r="Q58" s="13"/>
    </row>
    <row r="59" spans="1:17">
      <c r="A59" s="32" t="s">
        <v>61</v>
      </c>
      <c r="B59" s="32" t="s">
        <v>106</v>
      </c>
      <c r="C59" s="33" t="s">
        <v>167</v>
      </c>
      <c r="D59" s="34" t="s">
        <v>123</v>
      </c>
      <c r="E59" s="32" t="s">
        <v>19</v>
      </c>
      <c r="F59" s="32" t="s">
        <v>20</v>
      </c>
      <c r="G59" s="32" t="s">
        <v>21</v>
      </c>
      <c r="H59" s="74">
        <v>2</v>
      </c>
      <c r="I59" s="75">
        <v>220</v>
      </c>
      <c r="J59" s="76">
        <v>82.5</v>
      </c>
      <c r="K59" s="35" t="s">
        <v>43</v>
      </c>
      <c r="L59" s="74">
        <v>8</v>
      </c>
      <c r="M59" s="36">
        <v>45687</v>
      </c>
      <c r="N59" s="78"/>
      <c r="Q59" s="13"/>
    </row>
    <row r="60" spans="1:17">
      <c r="A60" s="32" t="s">
        <v>85</v>
      </c>
      <c r="B60" s="32" t="s">
        <v>90</v>
      </c>
      <c r="C60" s="33" t="s">
        <v>168</v>
      </c>
      <c r="D60" s="34" t="s">
        <v>125</v>
      </c>
      <c r="E60" s="32" t="s">
        <v>41</v>
      </c>
      <c r="F60" s="32" t="s">
        <v>42</v>
      </c>
      <c r="G60" s="32" t="s">
        <v>27</v>
      </c>
      <c r="H60" s="74">
        <v>2</v>
      </c>
      <c r="I60" s="75">
        <v>220</v>
      </c>
      <c r="J60" s="76">
        <v>220</v>
      </c>
      <c r="K60" s="35" t="s">
        <v>22</v>
      </c>
      <c r="L60" s="74">
        <v>6</v>
      </c>
      <c r="M60" s="36">
        <v>45548</v>
      </c>
      <c r="N60" s="78">
        <v>45729</v>
      </c>
      <c r="Q60" s="13"/>
    </row>
    <row r="61" spans="1:17">
      <c r="A61" s="32" t="s">
        <v>69</v>
      </c>
      <c r="B61" s="32" t="s">
        <v>82</v>
      </c>
      <c r="C61" s="33" t="s">
        <v>159</v>
      </c>
      <c r="D61" s="34" t="s">
        <v>158</v>
      </c>
      <c r="E61" s="32" t="s">
        <v>19</v>
      </c>
      <c r="F61" s="32" t="s">
        <v>42</v>
      </c>
      <c r="G61" s="32" t="s">
        <v>27</v>
      </c>
      <c r="H61" s="74">
        <v>2</v>
      </c>
      <c r="I61" s="75">
        <v>220</v>
      </c>
      <c r="J61" s="76">
        <v>110.01</v>
      </c>
      <c r="K61" s="35" t="s">
        <v>28</v>
      </c>
      <c r="L61" s="74">
        <v>6</v>
      </c>
      <c r="M61" s="36">
        <v>45683</v>
      </c>
      <c r="N61" s="78"/>
      <c r="Q61" s="13"/>
    </row>
    <row r="62" spans="1:17">
      <c r="A62" s="32" t="s">
        <v>73</v>
      </c>
      <c r="B62" s="32" t="s">
        <v>98</v>
      </c>
      <c r="C62" s="33" t="s">
        <v>161</v>
      </c>
      <c r="D62" s="34" t="s">
        <v>160</v>
      </c>
      <c r="E62" s="32" t="s">
        <v>19</v>
      </c>
      <c r="F62" s="32" t="s">
        <v>42</v>
      </c>
      <c r="G62" s="32" t="s">
        <v>21</v>
      </c>
      <c r="H62" s="74">
        <v>3</v>
      </c>
      <c r="I62" s="75">
        <v>290</v>
      </c>
      <c r="J62" s="76">
        <v>290</v>
      </c>
      <c r="K62" s="35" t="s">
        <v>43</v>
      </c>
      <c r="L62" s="74">
        <v>1</v>
      </c>
      <c r="M62" s="36">
        <v>45731</v>
      </c>
      <c r="N62" s="78">
        <v>45762</v>
      </c>
      <c r="Q62" s="13"/>
    </row>
    <row r="63" spans="1:17">
      <c r="A63" s="40" t="s">
        <v>77</v>
      </c>
      <c r="B63" s="46" t="s">
        <v>134</v>
      </c>
      <c r="C63" s="47" t="s">
        <v>152</v>
      </c>
      <c r="D63" s="48" t="s">
        <v>162</v>
      </c>
      <c r="E63" s="46" t="s">
        <v>41</v>
      </c>
      <c r="F63" s="46" t="s">
        <v>20</v>
      </c>
      <c r="G63" s="46" t="s">
        <v>27</v>
      </c>
      <c r="H63" s="74">
        <v>1</v>
      </c>
      <c r="I63" s="75">
        <v>150</v>
      </c>
      <c r="J63" s="76">
        <v>150</v>
      </c>
      <c r="K63" s="49" t="s">
        <v>22</v>
      </c>
      <c r="L63" s="74">
        <v>1</v>
      </c>
      <c r="M63" s="50">
        <v>45786</v>
      </c>
      <c r="N63" s="78">
        <v>45817</v>
      </c>
      <c r="Q63" s="13"/>
    </row>
    <row r="64" spans="1:17">
      <c r="A64" s="46" t="s">
        <v>169</v>
      </c>
      <c r="B64" s="46" t="s">
        <v>170</v>
      </c>
      <c r="C64" s="47" t="s">
        <v>171</v>
      </c>
      <c r="D64" s="48" t="s">
        <v>172</v>
      </c>
      <c r="E64" s="46" t="s">
        <v>19</v>
      </c>
      <c r="F64" s="46" t="s">
        <v>20</v>
      </c>
      <c r="G64" s="46" t="s">
        <v>21</v>
      </c>
      <c r="H64" s="48">
        <v>4</v>
      </c>
      <c r="I64" s="72">
        <v>360</v>
      </c>
      <c r="J64" s="73">
        <v>0</v>
      </c>
      <c r="K64" s="49" t="s">
        <v>28</v>
      </c>
      <c r="L64" s="48">
        <v>3</v>
      </c>
      <c r="M64" s="50" t="s">
        <v>19</v>
      </c>
      <c r="N64" s="50"/>
    </row>
    <row r="65" spans="1:14">
      <c r="A65" s="51"/>
      <c r="B65" s="51"/>
      <c r="C65" s="51"/>
      <c r="D65" s="51"/>
      <c r="E65" s="51"/>
      <c r="F65" s="51"/>
      <c r="G65" s="51"/>
      <c r="H65" s="51"/>
      <c r="I65" s="52"/>
      <c r="J65" s="53"/>
      <c r="K65" s="51"/>
      <c r="L65" s="51"/>
      <c r="M65" s="51"/>
      <c r="N65" s="51"/>
    </row>
  </sheetData>
  <sheetProtection sheet="1" objects="1" scenarios="1" sort="0" autoFilter="0"/>
  <mergeCells count="1">
    <mergeCell ref="C1:M2"/>
  </mergeCells>
  <dataValidations count="3">
    <dataValidation allowBlank="1" showInputMessage="1" showErrorMessage="1" sqref="J6:J63" xr:uid="{61C7BF59-B588-4F37-904D-9D69C32C1567}"/>
    <dataValidation type="whole" allowBlank="1" showInputMessage="1" showErrorMessage="1" sqref="L6:L1048555" xr:uid="{0C1DED9F-441B-4766-A3D8-A8E5545E8CB1}">
      <formula1>1</formula1>
      <formula2>8</formula2>
    </dataValidation>
    <dataValidation type="date" operator="greaterThan" allowBlank="1" showInputMessage="1" showErrorMessage="1" sqref="M6:N1048555" xr:uid="{E4A460D9-B0E9-4740-AE00-66EA06CA983D}">
      <formula1>45536</formula1>
    </dataValidation>
  </dataValidations>
  <hyperlinks>
    <hyperlink ref="C6" r:id="rId1" xr:uid="{6110D8BA-E5B6-4713-A5FC-D88183E5BBC6}"/>
    <hyperlink ref="C7" r:id="rId2" xr:uid="{E9259BC7-944E-43C9-B4FD-6D04DAC327D7}"/>
    <hyperlink ref="C8" r:id="rId3" xr:uid="{D93FD7C0-6A5E-4C14-B091-347ABF0AB906}"/>
    <hyperlink ref="C9" r:id="rId4" xr:uid="{213A1B75-E34A-418C-A5B3-2F98A7D9D898}"/>
    <hyperlink ref="C10" r:id="rId5" xr:uid="{DBCFAFF8-D58C-481C-A5A6-2D706E754FC0}"/>
    <hyperlink ref="C11" r:id="rId6" xr:uid="{54ED12C4-4B19-455F-9A6C-EBD1EC3EF6BD}"/>
    <hyperlink ref="C12" r:id="rId7" xr:uid="{D5C26BFC-7631-4C7C-A7A1-CFBA86958537}"/>
    <hyperlink ref="C13" r:id="rId8" xr:uid="{DF4A6876-820E-43A4-8E20-61E8867BA0A4}"/>
    <hyperlink ref="C14" r:id="rId9" xr:uid="{7FB7EBD7-B5FF-4C46-9D6B-C8B3DAE99BF4}"/>
    <hyperlink ref="C15" r:id="rId10" xr:uid="{ED365F78-826E-47BD-B006-5226B8FFD643}"/>
    <hyperlink ref="C16" r:id="rId11" xr:uid="{9A860530-9672-4852-876C-98B5744FD3ED}"/>
    <hyperlink ref="C17" r:id="rId12" xr:uid="{78AA33C6-A440-4553-82F6-FBB0261880B7}"/>
    <hyperlink ref="C18" r:id="rId13" xr:uid="{2439ECC6-A945-4075-BCF6-B809BBC1822F}"/>
    <hyperlink ref="C19" r:id="rId14" xr:uid="{6861E64A-CD95-40D4-B04A-8586964A45D4}"/>
    <hyperlink ref="C20" r:id="rId15" xr:uid="{917D0A0E-52EB-448E-BFA9-D98C37C81756}"/>
    <hyperlink ref="C21" r:id="rId16" xr:uid="{000CF3E3-3805-4595-854A-37E326926204}"/>
    <hyperlink ref="C22" r:id="rId17" xr:uid="{C16B68CF-F8D8-4A93-B91F-DCA6DF94CDF6}"/>
    <hyperlink ref="C23" r:id="rId18" xr:uid="{E9D943FD-7EDD-4F46-8A18-470D2B8052DC}"/>
    <hyperlink ref="C24" r:id="rId19" xr:uid="{D08C3E7B-A63F-4A16-BD8F-9EAF77CB712A}"/>
    <hyperlink ref="C25" r:id="rId20" xr:uid="{E717DF22-4327-43A7-94C8-84271F2CE98A}"/>
    <hyperlink ref="C26" r:id="rId21" xr:uid="{3A075949-596B-45FD-BCDF-78BF28A7235A}"/>
    <hyperlink ref="C27" r:id="rId22" xr:uid="{EE54EB69-9936-42BB-995F-ABA318B07121}"/>
    <hyperlink ref="C28" r:id="rId23" xr:uid="{6B493AEF-193B-4731-BBD8-F0C4BD1B0D4A}"/>
    <hyperlink ref="C29" r:id="rId24" xr:uid="{74DAEFB3-E42F-478B-9832-10B6F790FC4E}"/>
    <hyperlink ref="C30" r:id="rId25" xr:uid="{73997A2D-5C8C-40D5-A4D9-0706BB77CEB2}"/>
    <hyperlink ref="C31" r:id="rId26" xr:uid="{0808FDA1-7751-47E6-8EC4-87BB27FF1166}"/>
    <hyperlink ref="C32" r:id="rId27" xr:uid="{BCEF2E4B-A26D-4610-9012-6C19B8835B87}"/>
    <hyperlink ref="C33" r:id="rId28" xr:uid="{B27193B4-765A-4A77-879F-D6C29EB7B507}"/>
    <hyperlink ref="C34" r:id="rId29" xr:uid="{4D5A4C42-5B14-4ABD-8D56-CA67F67FF5B6}"/>
    <hyperlink ref="C35" r:id="rId30" xr:uid="{4699319D-6A5B-4E8B-A707-5C58E98D99B0}"/>
    <hyperlink ref="C36" r:id="rId31" xr:uid="{6C7DF11F-8899-4B0D-B0DB-086DC9113829}"/>
    <hyperlink ref="C37" r:id="rId32" xr:uid="{EC4A8D44-3BEB-4386-A7AE-CBC920F7E86C}"/>
    <hyperlink ref="C38" r:id="rId33" xr:uid="{8F7A92EA-3AE8-43BC-82B1-E55598F4F059}"/>
    <hyperlink ref="C39" r:id="rId34" xr:uid="{EAAC3CF3-B30D-4F90-8599-F31ACBE0266F}"/>
    <hyperlink ref="C40" r:id="rId35" xr:uid="{0AD751A3-B04D-46DD-9ACA-E888AF7E5888}"/>
    <hyperlink ref="C41" r:id="rId36" xr:uid="{6A55C0E1-6871-4B8B-A40A-6691C8C1AF5D}"/>
    <hyperlink ref="C42" r:id="rId37" xr:uid="{19BF09C0-1272-4B38-96B2-FF95A72BC675}"/>
    <hyperlink ref="C43" r:id="rId38" xr:uid="{F84D41D6-73DF-4773-8488-C782D789D96B}"/>
    <hyperlink ref="C44" r:id="rId39" xr:uid="{1497553F-13A8-42F8-88AF-BA055747968F}"/>
    <hyperlink ref="C45" r:id="rId40" xr:uid="{B45E593E-8EA4-4026-91F3-221E262EEABB}"/>
    <hyperlink ref="C46" r:id="rId41" xr:uid="{4FAC2F69-BBF3-46BC-9B3B-E45E794E2BE5}"/>
    <hyperlink ref="C47" r:id="rId42" xr:uid="{73D71392-E7A4-4AE3-AD6D-CDD7297C5930}"/>
    <hyperlink ref="C49" r:id="rId43" xr:uid="{D220F489-FD0E-43E4-9D77-B3B5E724EB41}"/>
    <hyperlink ref="C50" r:id="rId44" xr:uid="{0C0E71C4-B018-40C0-9AE2-23EB7A0034B3}"/>
    <hyperlink ref="C51" r:id="rId45" xr:uid="{2E3BCD8A-2E23-4B87-819C-1407D2004013}"/>
    <hyperlink ref="C52" r:id="rId46" xr:uid="{C073397A-1794-4654-8D68-237E13507968}"/>
    <hyperlink ref="C53" r:id="rId47" xr:uid="{398FFABB-03AB-4253-BB9B-40463131B70A}"/>
    <hyperlink ref="C54" r:id="rId48" xr:uid="{52DFD301-89FA-43F2-A5FD-32802C26230E}"/>
    <hyperlink ref="C55" r:id="rId49" xr:uid="{F12D9EF3-48A1-43A1-AE35-F1DA005DE65D}"/>
    <hyperlink ref="C56" r:id="rId50" xr:uid="{32DF9FF5-0AAE-4752-812A-A41D78666BAC}"/>
    <hyperlink ref="C57" r:id="rId51" xr:uid="{238CCC4D-E999-4321-BD05-5F90AA3ECE85}"/>
    <hyperlink ref="C58" r:id="rId52" xr:uid="{1D512AC1-90F3-4BFC-8F14-360532891015}"/>
    <hyperlink ref="C48" r:id="rId53" xr:uid="{F379E7CD-31C3-4A42-A6FE-461A448B31F6}"/>
    <hyperlink ref="C59" r:id="rId54" xr:uid="{3F1200DB-D40F-4B3F-9CBD-431527E2A9B7}"/>
    <hyperlink ref="C60" r:id="rId55" xr:uid="{9AE774CF-52C9-4D26-B3E5-5392381ADD1C}"/>
    <hyperlink ref="C61" r:id="rId56" xr:uid="{B4791063-74E4-4D92-AFE2-5E91C3E509CF}"/>
    <hyperlink ref="C62" r:id="rId57" xr:uid="{041D76B4-2BF7-46AF-A448-60549453CF82}"/>
    <hyperlink ref="C63" r:id="rId58" xr:uid="{9790E8DE-49E4-411F-9FD7-D620B724D223}"/>
  </hyperlinks>
  <pageMargins left="0.7" right="0.7" top="0.75" bottom="0.75" header="0.3" footer="0.3"/>
  <drawing r:id="rId59"/>
  <tableParts count="1">
    <tablePart r:id="rId60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44D35BEE-7EE4-4AB3-B7F0-2F2F4978ACB4}">
          <x14:formula1>
            <xm:f>'Listes financières'!$B$5:$B$8</xm:f>
          </x14:formula1>
          <xm:sqref>H6:H1048555</xm:sqref>
        </x14:dataValidation>
        <x14:dataValidation type="list" allowBlank="1" showInputMessage="1" showErrorMessage="1" xr:uid="{CA4D5348-CF1F-4CFC-A4EB-695FFCE72C22}">
          <x14:formula1>
            <xm:f>'Listes financières'!$H$5:$H$8</xm:f>
          </x14:formula1>
          <xm:sqref>K6:K1048555</xm:sqref>
        </x14:dataValidation>
        <x14:dataValidation type="list" allowBlank="1" showInputMessage="1" showErrorMessage="1" xr:uid="{7B62D720-1787-4BB7-9D01-021CB4185B3A}">
          <x14:formula1>
            <xm:f>'Listes activités'!$E$6:$E$7</xm:f>
          </x14:formula1>
          <xm:sqref>F6:F1048555</xm:sqref>
        </x14:dataValidation>
        <x14:dataValidation type="list" allowBlank="1" showInputMessage="1" showErrorMessage="1" xr:uid="{57D80F29-8C6A-4C3F-B447-DC64AD88A015}">
          <x14:formula1>
            <xm:f>'Listes activités'!$H$6:$H$7</xm:f>
          </x14:formula1>
          <xm:sqref>G6:G1048555</xm:sqref>
        </x14:dataValidation>
        <x14:dataValidation type="list" allowBlank="1" showInputMessage="1" showErrorMessage="1" xr:uid="{21C55EFE-3D9E-4411-836C-A05A9E745511}">
          <x14:formula1>
            <xm:f>'Listes activités'!$B$6:$B$7</xm:f>
          </x14:formula1>
          <xm:sqref>E6:E1048555</xm:sqref>
        </x14:dataValidation>
        <x14:dataValidation type="list" allowBlank="1" showInputMessage="1" showErrorMessage="1" xr:uid="{F50F96FB-D33E-4F32-909A-77E58E050A9D}">
          <x14:formula1>
            <xm:f>'Listes financières'!$C$5:$C$1048576</xm:f>
          </x14:formula1>
          <xm:sqref>I6:I1048555</xm:sqref>
        </x14:dataValidation>
        <x14:dataValidation type="decimal" allowBlank="1" showInputMessage="1" showErrorMessage="1" xr:uid="{BDA90443-0D47-430E-87D3-36BB2EE9C4D9}">
          <x14:formula1>
            <xm:f>0</xm:f>
          </x14:formula1>
          <x14:formula2>
            <xm:f>'Listes financières'!$C$8</xm:f>
          </x14:formula2>
          <xm:sqref>J64:J1048555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J7"/>
  <sheetViews>
    <sheetView showGridLines="0" workbookViewId="0">
      <selection activeCell="B39" sqref="B39"/>
    </sheetView>
  </sheetViews>
  <sheetFormatPr defaultColWidth="9" defaultRowHeight="14.25"/>
  <cols>
    <col min="1" max="4" width="8.7109375" customWidth="1"/>
    <col min="5" max="5" width="12.5703125" bestFit="1" customWidth="1"/>
    <col min="6" max="10" width="8.7109375" customWidth="1"/>
  </cols>
  <sheetData>
    <row r="1" spans="1:10" ht="20.25" customHeight="1">
      <c r="A1" s="87" t="s">
        <v>173</v>
      </c>
      <c r="B1" s="88"/>
      <c r="C1" s="88"/>
      <c r="D1" s="88"/>
      <c r="E1" s="88"/>
      <c r="F1" s="88"/>
      <c r="G1" s="88"/>
      <c r="H1" s="88"/>
      <c r="I1" s="88"/>
      <c r="J1" s="89"/>
    </row>
    <row r="2" spans="1:10" ht="20.25" customHeight="1">
      <c r="A2" s="90"/>
      <c r="B2" s="91"/>
      <c r="C2" s="91"/>
      <c r="D2" s="91"/>
      <c r="E2" s="91"/>
      <c r="F2" s="91"/>
      <c r="G2" s="91"/>
      <c r="H2" s="91"/>
      <c r="I2" s="91"/>
      <c r="J2" s="92"/>
    </row>
    <row r="5" spans="1:10">
      <c r="B5" s="26" t="s">
        <v>5</v>
      </c>
      <c r="E5" s="26" t="s">
        <v>6</v>
      </c>
      <c r="H5" s="26" t="s">
        <v>7</v>
      </c>
    </row>
    <row r="6" spans="1:10">
      <c r="B6" s="14" t="s">
        <v>19</v>
      </c>
      <c r="E6" s="14" t="s">
        <v>20</v>
      </c>
      <c r="H6" s="14" t="s">
        <v>21</v>
      </c>
    </row>
    <row r="7" spans="1:10">
      <c r="B7" s="15" t="s">
        <v>41</v>
      </c>
      <c r="E7" s="15" t="s">
        <v>42</v>
      </c>
      <c r="H7" s="15" t="s">
        <v>27</v>
      </c>
    </row>
  </sheetData>
  <sheetProtection sheet="1" objects="1" scenarios="1"/>
  <mergeCells count="1">
    <mergeCell ref="A1:J2"/>
  </mergeCells>
  <conditionalFormatting sqref="A6:A1048576 B6:B7 C6:C1048576 E6:E1048576 H6:H7">
    <cfRule type="notContainsBlanks" dxfId="4" priority="3">
      <formula>LEN(TRIM(A6))&gt;0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123FD-87DE-47C6-8251-B4C8D979FFE4}">
  <sheetPr codeName="Feuil3"/>
  <dimension ref="A1:J8"/>
  <sheetViews>
    <sheetView showGridLines="0" workbookViewId="0"/>
  </sheetViews>
  <sheetFormatPr defaultColWidth="9" defaultRowHeight="14.25"/>
  <cols>
    <col min="1" max="1" width="8.7109375" customWidth="1"/>
    <col min="2" max="2" width="16" bestFit="1" customWidth="1"/>
    <col min="3" max="3" width="5.85546875" bestFit="1" customWidth="1"/>
    <col min="4" max="7" width="8.7109375" customWidth="1"/>
    <col min="8" max="8" width="17.140625" bestFit="1" customWidth="1"/>
    <col min="9" max="10" width="8.7109375" customWidth="1"/>
  </cols>
  <sheetData>
    <row r="1" spans="1:10" ht="20.25" customHeight="1">
      <c r="A1" s="87" t="s">
        <v>174</v>
      </c>
      <c r="B1" s="88"/>
      <c r="C1" s="88"/>
      <c r="D1" s="88"/>
      <c r="E1" s="88"/>
      <c r="F1" s="88"/>
      <c r="G1" s="88"/>
      <c r="H1" s="88"/>
      <c r="I1" s="88"/>
      <c r="J1" s="89"/>
    </row>
    <row r="2" spans="1:10" ht="20.25" customHeight="1">
      <c r="A2" s="90"/>
      <c r="B2" s="91"/>
      <c r="C2" s="91"/>
      <c r="D2" s="91"/>
      <c r="E2" s="91"/>
      <c r="F2" s="91"/>
      <c r="G2" s="91"/>
      <c r="H2" s="91"/>
      <c r="I2" s="91"/>
      <c r="J2" s="92"/>
    </row>
    <row r="4" spans="1:10">
      <c r="B4" s="17" t="s">
        <v>175</v>
      </c>
      <c r="C4" s="18" t="s">
        <v>176</v>
      </c>
      <c r="H4" s="23" t="s">
        <v>177</v>
      </c>
    </row>
    <row r="5" spans="1:10">
      <c r="B5" s="19">
        <v>1</v>
      </c>
      <c r="C5" s="20">
        <v>150</v>
      </c>
      <c r="H5" s="24" t="s">
        <v>22</v>
      </c>
    </row>
    <row r="6" spans="1:10">
      <c r="B6" s="19">
        <v>2</v>
      </c>
      <c r="C6" s="20">
        <v>220</v>
      </c>
      <c r="H6" s="24" t="s">
        <v>43</v>
      </c>
    </row>
    <row r="7" spans="1:10">
      <c r="B7" s="19">
        <v>3</v>
      </c>
      <c r="C7" s="20">
        <v>290</v>
      </c>
      <c r="H7" s="24" t="s">
        <v>28</v>
      </c>
    </row>
    <row r="8" spans="1:10">
      <c r="B8" s="21">
        <v>4</v>
      </c>
      <c r="C8" s="22">
        <v>360</v>
      </c>
      <c r="H8" s="25" t="s">
        <v>48</v>
      </c>
    </row>
  </sheetData>
  <sheetProtection sheet="1" objects="1" scenarios="1"/>
  <mergeCells count="1">
    <mergeCell ref="A1:J2"/>
  </mergeCells>
  <conditionalFormatting sqref="B5:C1048576">
    <cfRule type="notContainsBlanks" dxfId="3" priority="3">
      <formula>LEN(TRIM(B5))&gt;0</formula>
    </cfRule>
  </conditionalFormatting>
  <conditionalFormatting sqref="H8">
    <cfRule type="notContainsBlanks" dxfId="2" priority="2">
      <formula>LEN(TRIM(H8))&gt;0</formula>
    </cfRule>
  </conditionalFormatting>
  <conditionalFormatting sqref="H5:H7">
    <cfRule type="notContainsBlanks" dxfId="1" priority="1">
      <formula>LEN(TRIM(H5))&gt;0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C0FBA-EDC2-49B5-B4CB-B71BDD1A3742}">
  <sheetPr codeName="Feuil4"/>
  <dimension ref="A1:L22"/>
  <sheetViews>
    <sheetView showGridLines="0" workbookViewId="0">
      <selection activeCell="F15" sqref="F15"/>
    </sheetView>
  </sheetViews>
  <sheetFormatPr defaultColWidth="9" defaultRowHeight="14.25"/>
  <cols>
    <col min="1" max="1" width="9.140625" bestFit="1" customWidth="1"/>
    <col min="2" max="2" width="16.28515625" bestFit="1" customWidth="1"/>
    <col min="3" max="3" width="11.140625" bestFit="1" customWidth="1"/>
    <col min="4" max="4" width="34.42578125" customWidth="1"/>
    <col min="8" max="8" width="14.85546875" bestFit="1" customWidth="1"/>
    <col min="10" max="10" width="11.140625" bestFit="1" customWidth="1"/>
  </cols>
  <sheetData>
    <row r="1" spans="1:12" ht="15" customHeight="1">
      <c r="A1" s="102" t="s">
        <v>178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4"/>
    </row>
    <row r="2" spans="1:12" ht="15" customHeight="1">
      <c r="A2" s="105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7"/>
    </row>
    <row r="4" spans="1:12" s="27" customFormat="1" ht="42" customHeight="1">
      <c r="B4" s="97" t="s">
        <v>179</v>
      </c>
      <c r="C4" s="98"/>
      <c r="D4" s="99"/>
      <c r="H4" s="112" t="s">
        <v>180</v>
      </c>
      <c r="I4" s="113"/>
      <c r="J4" s="114"/>
    </row>
    <row r="6" spans="1:12" ht="15">
      <c r="B6" s="115" t="s">
        <v>1</v>
      </c>
      <c r="C6" s="116"/>
      <c r="D6" s="68" t="s">
        <v>181</v>
      </c>
      <c r="H6" s="110" t="s">
        <v>182</v>
      </c>
      <c r="I6" s="111"/>
      <c r="J6" s="28">
        <f>_xlfn.IFNA(VLOOKUP(D11,'Listes financières'!B5:C8,2),)</f>
        <v>360</v>
      </c>
    </row>
    <row r="7" spans="1:12" ht="15">
      <c r="B7" s="93" t="s">
        <v>2</v>
      </c>
      <c r="C7" s="94"/>
      <c r="D7" s="69" t="s">
        <v>183</v>
      </c>
      <c r="H7" s="100" t="s">
        <v>184</v>
      </c>
      <c r="I7" s="101"/>
      <c r="J7" s="29">
        <f>IFERROR(CEILING(J6/D15,0.01),J6)</f>
        <v>120</v>
      </c>
    </row>
    <row r="8" spans="1:12" ht="15">
      <c r="B8" s="93" t="s">
        <v>185</v>
      </c>
      <c r="C8" s="94"/>
      <c r="D8" s="69" t="s">
        <v>19</v>
      </c>
      <c r="H8" s="108" t="s">
        <v>186</v>
      </c>
      <c r="I8" s="109"/>
      <c r="J8" s="30">
        <f ca="1">TODAY()</f>
        <v>45827</v>
      </c>
    </row>
    <row r="9" spans="1:12" ht="15">
      <c r="B9" s="93" t="s">
        <v>6</v>
      </c>
      <c r="C9" s="94"/>
      <c r="D9" s="69" t="s">
        <v>20</v>
      </c>
    </row>
    <row r="10" spans="1:12" ht="15">
      <c r="B10" s="93" t="s">
        <v>7</v>
      </c>
      <c r="C10" s="94"/>
      <c r="D10" s="69" t="s">
        <v>21</v>
      </c>
    </row>
    <row r="11" spans="1:12" ht="15">
      <c r="B11" s="93" t="s">
        <v>8</v>
      </c>
      <c r="C11" s="94"/>
      <c r="D11" s="69">
        <v>4</v>
      </c>
    </row>
    <row r="12" spans="1:12" ht="15">
      <c r="B12" s="93" t="s">
        <v>4</v>
      </c>
      <c r="C12" s="94"/>
      <c r="D12" s="69" t="s">
        <v>172</v>
      </c>
    </row>
    <row r="13" spans="1:12" ht="15">
      <c r="B13" s="93" t="s">
        <v>3</v>
      </c>
      <c r="C13" s="94"/>
      <c r="D13" s="70" t="s">
        <v>187</v>
      </c>
    </row>
    <row r="14" spans="1:12" ht="15">
      <c r="B14" s="93" t="s">
        <v>188</v>
      </c>
      <c r="C14" s="94"/>
      <c r="D14" s="69" t="s">
        <v>28</v>
      </c>
    </row>
    <row r="15" spans="1:12" ht="16.5" customHeight="1">
      <c r="B15" s="95" t="s">
        <v>189</v>
      </c>
      <c r="C15" s="96"/>
      <c r="D15" s="71">
        <v>3</v>
      </c>
      <c r="I15" s="16"/>
    </row>
    <row r="22" ht="15"/>
  </sheetData>
  <sheetProtection sheet="1" objects="1" scenarios="1"/>
  <protectedRanges>
    <protectedRange sqref="D6:D15 E15:E24 I18:I27" name="Range1_1"/>
  </protectedRanges>
  <mergeCells count="16">
    <mergeCell ref="A1:L2"/>
    <mergeCell ref="H8:I8"/>
    <mergeCell ref="H6:I6"/>
    <mergeCell ref="H4:J4"/>
    <mergeCell ref="B6:C6"/>
    <mergeCell ref="B7:C7"/>
    <mergeCell ref="B8:C8"/>
    <mergeCell ref="B14:C14"/>
    <mergeCell ref="B15:C15"/>
    <mergeCell ref="B4:D4"/>
    <mergeCell ref="H7:I7"/>
    <mergeCell ref="B12:C12"/>
    <mergeCell ref="B13:C13"/>
    <mergeCell ref="B9:C9"/>
    <mergeCell ref="B10:C10"/>
    <mergeCell ref="B11:C11"/>
  </mergeCells>
  <conditionalFormatting sqref="D6:D15">
    <cfRule type="containsBlanks" dxfId="0" priority="4">
      <formula>LEN(TRIM(D6))=0</formula>
    </cfRule>
  </conditionalFormatting>
  <conditionalFormatting sqref="D6:D15">
    <cfRule type="notContainsBlanks" priority="3">
      <formula>LEN(TRIM(D6))&gt;0</formula>
    </cfRule>
  </conditionalFormatting>
  <dataValidations count="5">
    <dataValidation allowBlank="1" showInputMessage="1" showErrorMessage="1" prompt="Votre prénom" sqref="D7" xr:uid="{32687488-2988-4A8A-A30F-667E5E0C0CB3}"/>
    <dataValidation allowBlank="1" showInputMessage="1" showErrorMessage="1" prompt="Votre nom de famille" sqref="D6" xr:uid="{0BA18636-5EDC-4417-8975-25BA21F38D65}"/>
    <dataValidation type="whole" allowBlank="1" showInputMessage="1" showErrorMessage="1" prompt="Nombre de mensualités" sqref="D15" xr:uid="{D44C26A9-FFE2-4C25-AE76-C04ED92D37BD}">
      <formula1>1</formula1>
      <formula2>8</formula2>
    </dataValidation>
    <dataValidation allowBlank="1" showInputMessage="1" showErrorMessage="1" prompt="Votre numéro de téléphone" sqref="D12" xr:uid="{11C1374D-602E-42A7-8053-21310E3A33A9}"/>
    <dataValidation allowBlank="1" showInputMessage="1" showErrorMessage="1" prompt="Votre email" sqref="D13" xr:uid="{E887C3A3-4D25-48AD-A716-4C18DF8C415D}"/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Nombre de cours par semaine" prompt="Entre 1 et 4 cours" xr:uid="{52A0B269-1A58-4F65-B151-CE89AEB2FB23}">
          <x14:formula1>
            <xm:f>'Listes financières'!$B$5:$B$8</xm:f>
          </x14:formula1>
          <xm:sqref>D11</xm:sqref>
        </x14:dataValidation>
        <x14:dataValidation type="list" allowBlank="1" showInputMessage="1" showErrorMessage="1" promptTitle="Type de danse" prompt="Parmi : Rock et Salsa" xr:uid="{A1A1A136-6BB4-48B1-8A9F-8699C764504E}">
          <x14:formula1>
            <xm:f>'Listes activités'!$B$6:$B$7</xm:f>
          </x14:formula1>
          <xm:sqref>D8</xm:sqref>
        </x14:dataValidation>
        <x14:dataValidation type="list" allowBlank="1" showInputMessage="1" showErrorMessage="1" promptTitle="Niveau de danse" prompt="Parmi : Débutant et Intermédiaire" xr:uid="{8EC1037B-BB5A-4535-A02B-AD75A1DFC246}">
          <x14:formula1>
            <xm:f>'Listes activités'!$E$6:$E$7</xm:f>
          </x14:formula1>
          <xm:sqref>D9</xm:sqref>
        </x14:dataValidation>
        <x14:dataValidation type="list" allowBlank="1" showInputMessage="1" showErrorMessage="1" promptTitle="Rôle de danse" prompt="Pami : Leader et Follower" xr:uid="{4BA520AD-576E-4433-B434-9DF3C4931359}">
          <x14:formula1>
            <xm:f>'Listes activités'!$H$6:$H$7</xm:f>
          </x14:formula1>
          <xm:sqref>D10</xm:sqref>
        </x14:dataValidation>
        <x14:dataValidation type="list" allowBlank="1" showInputMessage="1" showErrorMessage="1" promptTitle="Mode de payement utilisé" prompt="Parmi : Chèque, Espèces, CB et Virement" xr:uid="{D2A70D28-9AD8-4448-89E8-C924E81083A6}">
          <x14:formula1>
            <xm:f>'Listes financières'!$H$5:$H$8</xm:f>
          </x14:formula1>
          <xm:sqref>D14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9A165-15EA-4719-9F47-0CD4BE9F69AF}">
  <sheetPr codeName="Feuil5"/>
  <dimension ref="D1:T44"/>
  <sheetViews>
    <sheetView showGridLines="0" workbookViewId="0">
      <selection activeCell="H25" sqref="H25"/>
    </sheetView>
  </sheetViews>
  <sheetFormatPr defaultColWidth="9" defaultRowHeight="14.25"/>
  <cols>
    <col min="2" max="2" width="11.42578125" bestFit="1" customWidth="1"/>
    <col min="3" max="3" width="16.140625" customWidth="1"/>
    <col min="4" max="4" width="14.28515625" customWidth="1"/>
    <col min="5" max="5" width="16.140625" customWidth="1"/>
    <col min="12" max="12" width="14.28515625" customWidth="1"/>
    <col min="13" max="14" width="16.140625" customWidth="1"/>
    <col min="16" max="16" width="14.28515625" bestFit="1" customWidth="1"/>
    <col min="17" max="18" width="16.140625" bestFit="1" customWidth="1"/>
    <col min="19" max="19" width="11.42578125" customWidth="1"/>
    <col min="20" max="20" width="14.42578125" customWidth="1"/>
  </cols>
  <sheetData>
    <row r="1" spans="4:17" ht="20.25" customHeight="1">
      <c r="D1" s="117" t="s">
        <v>190</v>
      </c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</row>
    <row r="2" spans="4:17" ht="20.25" customHeight="1"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</row>
    <row r="36" spans="4:20">
      <c r="D36" s="12" t="s">
        <v>191</v>
      </c>
      <c r="E36" t="s">
        <v>192</v>
      </c>
      <c r="L36" s="12" t="s">
        <v>191</v>
      </c>
      <c r="M36" t="s">
        <v>192</v>
      </c>
      <c r="S36" s="12" t="s">
        <v>5</v>
      </c>
      <c r="T36" t="s">
        <v>193</v>
      </c>
    </row>
    <row r="37" spans="4:20">
      <c r="D37" s="1" t="s">
        <v>43</v>
      </c>
      <c r="E37" s="11">
        <v>2340</v>
      </c>
      <c r="L37" s="1" t="s">
        <v>42</v>
      </c>
      <c r="M37" s="11">
        <v>3960</v>
      </c>
      <c r="S37" t="s">
        <v>19</v>
      </c>
      <c r="T37" s="10">
        <v>10580</v>
      </c>
    </row>
    <row r="38" spans="4:20">
      <c r="D38" s="1" t="s">
        <v>48</v>
      </c>
      <c r="E38" s="11">
        <v>2070</v>
      </c>
      <c r="L38" s="1" t="s">
        <v>20</v>
      </c>
      <c r="M38" s="11">
        <v>2160</v>
      </c>
      <c r="S38" t="s">
        <v>41</v>
      </c>
      <c r="T38" s="10">
        <v>8030</v>
      </c>
    </row>
    <row r="39" spans="4:20">
      <c r="D39" s="1" t="s">
        <v>28</v>
      </c>
      <c r="E39" s="11">
        <v>900</v>
      </c>
      <c r="L39" s="1" t="s">
        <v>194</v>
      </c>
      <c r="M39" s="11">
        <v>6120</v>
      </c>
      <c r="S39" t="s">
        <v>194</v>
      </c>
      <c r="T39" s="10">
        <v>18610</v>
      </c>
    </row>
    <row r="40" spans="4:20">
      <c r="D40" s="1" t="s">
        <v>22</v>
      </c>
      <c r="E40" s="11">
        <v>810</v>
      </c>
    </row>
    <row r="41" spans="4:20">
      <c r="D41" s="1" t="s">
        <v>194</v>
      </c>
      <c r="E41" s="11">
        <v>6120</v>
      </c>
    </row>
    <row r="42" spans="4:20">
      <c r="D42" s="11"/>
    </row>
    <row r="43" spans="4:20">
      <c r="D43" s="11"/>
    </row>
    <row r="44" spans="4:20">
      <c r="D44" s="11"/>
    </row>
  </sheetData>
  <sheetProtection sheet="1" objects="1" scenarios="1"/>
  <mergeCells count="1">
    <mergeCell ref="D1:Q2"/>
  </mergeCells>
  <pageMargins left="0.7" right="0.7" top="0.75" bottom="0.75" header="0.3" footer="0.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F3046-82C0-40E6-9D11-615B0B2A0464}">
  <sheetPr codeName="Feuil6">
    <pageSetUpPr fitToPage="1"/>
  </sheetPr>
  <dimension ref="A1:L71"/>
  <sheetViews>
    <sheetView showGridLines="0" tabSelected="1" workbookViewId="0">
      <selection activeCell="C22" sqref="C22:H23"/>
    </sheetView>
  </sheetViews>
  <sheetFormatPr defaultColWidth="9" defaultRowHeight="14.25"/>
  <cols>
    <col min="3" max="3" width="51.28515625" customWidth="1"/>
    <col min="4" max="4" width="19.85546875" customWidth="1"/>
    <col min="7" max="7" width="21.5703125" bestFit="1" customWidth="1"/>
    <col min="8" max="8" width="32.42578125" bestFit="1" customWidth="1"/>
    <col min="9" max="9" width="9.5703125" bestFit="1" customWidth="1"/>
    <col min="12" max="12" width="11.140625" customWidth="1"/>
  </cols>
  <sheetData>
    <row r="1" spans="1:11" ht="20.25" customHeight="1">
      <c r="A1" s="120" t="s">
        <v>195</v>
      </c>
      <c r="B1" s="121"/>
      <c r="C1" s="121"/>
      <c r="D1" s="121"/>
      <c r="E1" s="121"/>
      <c r="F1" s="121"/>
      <c r="G1" s="121"/>
      <c r="H1" s="121"/>
      <c r="I1" s="121"/>
      <c r="J1" s="121"/>
      <c r="K1" s="122"/>
    </row>
    <row r="2" spans="1:11" ht="20.25" customHeight="1">
      <c r="A2" s="123"/>
      <c r="B2" s="124"/>
      <c r="C2" s="124"/>
      <c r="D2" s="124"/>
      <c r="E2" s="124"/>
      <c r="F2" s="124"/>
      <c r="G2" s="124"/>
      <c r="H2" s="124"/>
      <c r="I2" s="124"/>
      <c r="J2" s="124"/>
      <c r="K2" s="125"/>
    </row>
    <row r="6" spans="1:11">
      <c r="B6" s="2"/>
      <c r="C6" s="3"/>
      <c r="D6" s="3"/>
      <c r="E6" s="3"/>
      <c r="F6" s="3"/>
      <c r="G6" s="3"/>
      <c r="H6" s="3"/>
      <c r="I6" s="3"/>
      <c r="J6" s="4"/>
    </row>
    <row r="7" spans="1:11">
      <c r="B7" s="31"/>
      <c r="J7" s="6"/>
    </row>
    <row r="8" spans="1:11" ht="99.75" customHeight="1">
      <c r="B8" s="5"/>
      <c r="C8" s="118" t="s">
        <v>196</v>
      </c>
      <c r="D8" s="118"/>
      <c r="E8" s="118"/>
      <c r="F8" s="118"/>
      <c r="G8" s="118"/>
      <c r="J8" s="6"/>
    </row>
    <row r="9" spans="1:11">
      <c r="B9" s="5"/>
      <c r="J9" s="6"/>
    </row>
    <row r="10" spans="1:11" ht="15" customHeight="1">
      <c r="B10" s="5"/>
      <c r="C10" s="130" t="s">
        <v>197</v>
      </c>
      <c r="D10" s="130"/>
      <c r="E10" s="130"/>
      <c r="F10" s="130"/>
      <c r="G10" s="130"/>
      <c r="H10" s="130"/>
      <c r="J10" s="6"/>
    </row>
    <row r="11" spans="1:11" ht="15" customHeight="1">
      <c r="B11" s="5"/>
      <c r="C11" s="130"/>
      <c r="D11" s="130"/>
      <c r="E11" s="130"/>
      <c r="F11" s="130"/>
      <c r="G11" s="130"/>
      <c r="H11" s="130"/>
      <c r="J11" s="6"/>
    </row>
    <row r="12" spans="1:11" ht="15" customHeight="1">
      <c r="B12" s="5"/>
      <c r="C12" s="131" t="s">
        <v>198</v>
      </c>
      <c r="D12" s="131"/>
      <c r="E12" s="131"/>
      <c r="F12" s="131"/>
      <c r="G12" s="131"/>
      <c r="H12" s="131"/>
      <c r="J12" s="6"/>
    </row>
    <row r="13" spans="1:11" ht="15" customHeight="1">
      <c r="B13" s="5"/>
      <c r="C13" s="131"/>
      <c r="D13" s="131"/>
      <c r="E13" s="131"/>
      <c r="F13" s="131"/>
      <c r="G13" s="131"/>
      <c r="H13" s="131"/>
      <c r="J13" s="6"/>
    </row>
    <row r="14" spans="1:11" ht="15" customHeight="1">
      <c r="B14" s="5"/>
      <c r="C14" s="130" t="s">
        <v>199</v>
      </c>
      <c r="D14" s="130"/>
      <c r="E14" s="130"/>
      <c r="F14" s="130"/>
      <c r="G14" s="130"/>
      <c r="H14" s="130"/>
      <c r="J14" s="6"/>
    </row>
    <row r="15" spans="1:11" ht="15" customHeight="1">
      <c r="B15" s="5"/>
      <c r="C15" s="130"/>
      <c r="D15" s="130"/>
      <c r="E15" s="130"/>
      <c r="F15" s="130"/>
      <c r="G15" s="130"/>
      <c r="H15" s="130"/>
      <c r="J15" s="6"/>
    </row>
    <row r="16" spans="1:11" ht="15" customHeight="1">
      <c r="B16" s="5"/>
      <c r="C16" s="130" t="s">
        <v>200</v>
      </c>
      <c r="D16" s="130"/>
      <c r="E16" s="130"/>
      <c r="F16" s="130"/>
      <c r="G16" s="130"/>
      <c r="H16" s="130"/>
      <c r="J16" s="6"/>
    </row>
    <row r="17" spans="2:12" ht="15" customHeight="1">
      <c r="B17" s="5"/>
      <c r="C17" s="130"/>
      <c r="D17" s="130"/>
      <c r="E17" s="130"/>
      <c r="F17" s="130"/>
      <c r="G17" s="130"/>
      <c r="H17" s="130"/>
      <c r="J17" s="6"/>
    </row>
    <row r="18" spans="2:12" ht="63.75" customHeight="1">
      <c r="B18" s="5"/>
      <c r="C18" s="13"/>
      <c r="G18" s="119" t="s">
        <v>201</v>
      </c>
      <c r="H18" s="119"/>
      <c r="J18" s="6"/>
    </row>
    <row r="19" spans="2:12">
      <c r="B19" s="5"/>
      <c r="C19" s="13"/>
      <c r="D19" s="13"/>
      <c r="E19" s="13"/>
      <c r="F19" s="13"/>
      <c r="G19" s="119"/>
      <c r="H19" s="119"/>
      <c r="J19" s="6"/>
    </row>
    <row r="20" spans="2:12" ht="15" customHeight="1">
      <c r="B20" s="5"/>
      <c r="C20" s="133" t="str">
        <f>CONCATENATE(Inscription!D7, " ",Inscription!D6)</f>
        <v>Bougnoul Eric</v>
      </c>
      <c r="D20" s="133"/>
      <c r="E20" s="133"/>
      <c r="F20" s="133"/>
      <c r="G20" s="133"/>
      <c r="H20" s="133"/>
      <c r="J20" s="6"/>
    </row>
    <row r="21" spans="2:12" ht="15" customHeight="1">
      <c r="B21" s="5"/>
      <c r="C21" s="133"/>
      <c r="D21" s="133"/>
      <c r="E21" s="133"/>
      <c r="F21" s="133"/>
      <c r="G21" s="133"/>
      <c r="H21" s="133"/>
      <c r="J21" s="6"/>
    </row>
    <row r="22" spans="2:12" ht="15" customHeight="1">
      <c r="B22" s="5"/>
      <c r="C22" s="132" t="str">
        <f>Inscription!D13</f>
        <v>eric.bougnoul@gmail.com</v>
      </c>
      <c r="D22" s="132"/>
      <c r="E22" s="132"/>
      <c r="F22" s="132"/>
      <c r="G22" s="132"/>
      <c r="H22" s="132"/>
      <c r="J22" s="6"/>
    </row>
    <row r="23" spans="2:12" ht="15" customHeight="1">
      <c r="B23" s="5"/>
      <c r="C23" s="132"/>
      <c r="D23" s="132"/>
      <c r="E23" s="132"/>
      <c r="F23" s="132"/>
      <c r="G23" s="132"/>
      <c r="H23" s="132"/>
      <c r="J23" s="6"/>
    </row>
    <row r="24" spans="2:12" ht="15" customHeight="1">
      <c r="B24" s="5"/>
      <c r="C24" s="132" t="str">
        <f>Inscription!D12</f>
        <v>06 04 03 01 28</v>
      </c>
      <c r="D24" s="132"/>
      <c r="E24" s="132"/>
      <c r="F24" s="132"/>
      <c r="G24" s="132"/>
      <c r="H24" s="132"/>
      <c r="J24" s="6"/>
    </row>
    <row r="25" spans="2:12" ht="15" customHeight="1">
      <c r="B25" s="5"/>
      <c r="C25" s="132"/>
      <c r="D25" s="132"/>
      <c r="E25" s="132"/>
      <c r="F25" s="132"/>
      <c r="G25" s="132"/>
      <c r="H25" s="132"/>
      <c r="J25" s="6"/>
    </row>
    <row r="26" spans="2:12" ht="30">
      <c r="B26" s="5"/>
      <c r="C26" s="13"/>
      <c r="D26" s="13"/>
      <c r="E26" s="13"/>
      <c r="F26" s="13"/>
      <c r="G26" s="55"/>
      <c r="H26" s="55"/>
      <c r="J26" s="6"/>
    </row>
    <row r="27" spans="2:12" ht="30">
      <c r="B27" s="5"/>
      <c r="C27" s="13"/>
      <c r="D27" s="13"/>
      <c r="E27" s="13"/>
      <c r="F27" s="13"/>
      <c r="G27" s="55"/>
      <c r="H27" s="55"/>
      <c r="J27" s="6"/>
    </row>
    <row r="28" spans="2:12">
      <c r="B28" s="5"/>
      <c r="C28" s="134"/>
      <c r="D28" s="134"/>
      <c r="E28" s="134"/>
      <c r="F28" s="134"/>
      <c r="G28" s="134"/>
      <c r="H28" s="134"/>
      <c r="J28" s="6"/>
      <c r="L28" s="59"/>
    </row>
    <row r="29" spans="2:12">
      <c r="B29" s="5"/>
      <c r="C29" s="134"/>
      <c r="D29" s="134"/>
      <c r="E29" s="134"/>
      <c r="F29" s="134"/>
      <c r="G29" s="134"/>
      <c r="H29" s="134"/>
      <c r="J29" s="6"/>
    </row>
    <row r="30" spans="2:12" ht="15" customHeight="1">
      <c r="B30" s="5"/>
      <c r="C30" s="135"/>
      <c r="D30" s="135"/>
      <c r="E30" s="135"/>
      <c r="F30" s="135"/>
      <c r="G30" s="135"/>
      <c r="H30" s="135"/>
      <c r="J30" s="6"/>
    </row>
    <row r="31" spans="2:12" ht="15" customHeight="1">
      <c r="B31" s="5"/>
      <c r="C31" s="135"/>
      <c r="D31" s="135"/>
      <c r="E31" s="135"/>
      <c r="F31" s="135"/>
      <c r="G31" s="135"/>
      <c r="H31" s="135"/>
      <c r="J31" s="6"/>
    </row>
    <row r="32" spans="2:12" ht="30">
      <c r="B32" s="5"/>
      <c r="C32" s="54"/>
      <c r="D32" s="54"/>
      <c r="E32" s="54"/>
      <c r="F32" s="54"/>
      <c r="G32" s="55"/>
      <c r="H32" s="55"/>
      <c r="J32" s="6"/>
    </row>
    <row r="33" spans="2:10" ht="30">
      <c r="B33" s="5"/>
      <c r="C33" s="61" t="s">
        <v>202</v>
      </c>
      <c r="D33" s="127" t="s">
        <v>189</v>
      </c>
      <c r="E33" s="127"/>
      <c r="F33" s="127"/>
      <c r="G33" s="127"/>
      <c r="H33" s="62" t="s">
        <v>9</v>
      </c>
      <c r="J33" s="6"/>
    </row>
    <row r="34" spans="2:10" ht="30">
      <c r="B34" s="5"/>
      <c r="C34" s="64">
        <f ca="1">EDATE(Inscription!J8,1)</f>
        <v>45857</v>
      </c>
      <c r="D34" s="126">
        <v>1</v>
      </c>
      <c r="E34" s="126"/>
      <c r="F34" s="126"/>
      <c r="G34" s="126"/>
      <c r="H34" s="65">
        <f>IF(ISNUMBER(D34),Inscription!J6-SUM(Facture!H35:H46),"")</f>
        <v>120</v>
      </c>
      <c r="J34" s="6"/>
    </row>
    <row r="35" spans="2:10" ht="31.5" customHeight="1">
      <c r="B35" s="5"/>
      <c r="C35" s="63">
        <f ca="1">IF(ISNUMBER(D35),EDATE(C34, 1),"")</f>
        <v>45888</v>
      </c>
      <c r="D35" s="136">
        <f>IF(ISNUMBER(D34),IF((Inscription!$D$15-D34)=0,"",D34+1),"")</f>
        <v>2</v>
      </c>
      <c r="E35" s="136"/>
      <c r="F35" s="136"/>
      <c r="G35" s="136"/>
      <c r="H35" s="66">
        <f>IF(ISNUMBER(D35),Inscription!$J$7,"")</f>
        <v>120</v>
      </c>
      <c r="J35" s="6"/>
    </row>
    <row r="36" spans="2:10" ht="31.5" customHeight="1">
      <c r="B36" s="5"/>
      <c r="C36" s="63">
        <f t="shared" ref="C36:C46" ca="1" si="0">IF(ISNUMBER(D36),EDATE(C35, 1),"")</f>
        <v>45919</v>
      </c>
      <c r="D36" s="136">
        <f>IF(ISNUMBER(D35),IF((Inscription!$D$15-D35)=0,"",D35+1),"")</f>
        <v>3</v>
      </c>
      <c r="E36" s="136"/>
      <c r="F36" s="136"/>
      <c r="G36" s="136"/>
      <c r="H36" s="66">
        <f>IF(ISNUMBER(D36),Inscription!$J$7,"")</f>
        <v>120</v>
      </c>
      <c r="J36" s="6"/>
    </row>
    <row r="37" spans="2:10" ht="31.5" customHeight="1">
      <c r="B37" s="5"/>
      <c r="C37" s="63" t="str">
        <f t="shared" si="0"/>
        <v/>
      </c>
      <c r="D37" s="136" t="str">
        <f>IF(ISNUMBER(D36),IF((Inscription!$D$15-D36)=0,"",D36+1),"")</f>
        <v/>
      </c>
      <c r="E37" s="136"/>
      <c r="F37" s="136"/>
      <c r="G37" s="136"/>
      <c r="H37" s="66" t="str">
        <f>IF(ISNUMBER(D37),Inscription!$J$7,"")</f>
        <v/>
      </c>
      <c r="J37" s="6"/>
    </row>
    <row r="38" spans="2:10" ht="31.5" customHeight="1">
      <c r="B38" s="5"/>
      <c r="C38" s="63" t="str">
        <f t="shared" si="0"/>
        <v/>
      </c>
      <c r="D38" s="136" t="str">
        <f>IF(ISNUMBER(D37),IF((Inscription!$D$15-D37)=0,"",D37+1),"")</f>
        <v/>
      </c>
      <c r="E38" s="136"/>
      <c r="F38" s="136"/>
      <c r="G38" s="136"/>
      <c r="H38" s="66" t="str">
        <f>IF(ISNUMBER(D38),Inscription!$J$7,"")</f>
        <v/>
      </c>
      <c r="J38" s="6"/>
    </row>
    <row r="39" spans="2:10" ht="31.5" customHeight="1">
      <c r="B39" s="5"/>
      <c r="C39" s="63" t="str">
        <f t="shared" si="0"/>
        <v/>
      </c>
      <c r="D39" s="136" t="str">
        <f>IF(ISNUMBER(D38),IF((Inscription!$D$15-D38)=0,"",D38+1),"")</f>
        <v/>
      </c>
      <c r="E39" s="136"/>
      <c r="F39" s="136"/>
      <c r="G39" s="136"/>
      <c r="H39" s="66" t="str">
        <f>IF(ISNUMBER(D39),Inscription!$J$7,"")</f>
        <v/>
      </c>
      <c r="J39" s="6"/>
    </row>
    <row r="40" spans="2:10" ht="31.5" customHeight="1">
      <c r="B40" s="5"/>
      <c r="C40" s="63" t="str">
        <f t="shared" si="0"/>
        <v/>
      </c>
      <c r="D40" s="136" t="str">
        <f>IF(ISNUMBER(D39),IF((Inscription!$D$15-D39)=0,"",D39+1),"")</f>
        <v/>
      </c>
      <c r="E40" s="136"/>
      <c r="F40" s="136"/>
      <c r="G40" s="136"/>
      <c r="H40" s="66" t="str">
        <f>IF(ISNUMBER(D40),Inscription!$J$7,"")</f>
        <v/>
      </c>
      <c r="J40" s="6"/>
    </row>
    <row r="41" spans="2:10" ht="31.5" customHeight="1">
      <c r="B41" s="5"/>
      <c r="C41" s="63" t="str">
        <f t="shared" si="0"/>
        <v/>
      </c>
      <c r="D41" s="136" t="str">
        <f>IF(ISNUMBER(D40),IF((Inscription!$D$15-D40)=0,"",D40+1),"")</f>
        <v/>
      </c>
      <c r="E41" s="136"/>
      <c r="F41" s="136"/>
      <c r="G41" s="136"/>
      <c r="H41" s="66" t="str">
        <f>IF(ISNUMBER(D41),Inscription!$J$7,"")</f>
        <v/>
      </c>
      <c r="J41" s="6"/>
    </row>
    <row r="42" spans="2:10" ht="31.5" customHeight="1">
      <c r="B42" s="5"/>
      <c r="C42" s="63" t="str">
        <f t="shared" si="0"/>
        <v/>
      </c>
      <c r="D42" s="136" t="str">
        <f>IF(ISNUMBER(D41),IF((Inscription!$D$15-D41)=0,"",D41+1),"")</f>
        <v/>
      </c>
      <c r="E42" s="136"/>
      <c r="F42" s="136"/>
      <c r="G42" s="136"/>
      <c r="H42" s="66" t="str">
        <f>IF(ISNUMBER(D42),Inscription!$J$7,"")</f>
        <v/>
      </c>
      <c r="J42" s="6"/>
    </row>
    <row r="43" spans="2:10" ht="31.5" customHeight="1">
      <c r="B43" s="5"/>
      <c r="C43" s="63" t="str">
        <f t="shared" si="0"/>
        <v/>
      </c>
      <c r="D43" s="136" t="str">
        <f>IF(ISNUMBER(D42),IF((Inscription!$D$15-D42)=0,"",D42+1),"")</f>
        <v/>
      </c>
      <c r="E43" s="136"/>
      <c r="F43" s="136"/>
      <c r="G43" s="136"/>
      <c r="H43" s="66" t="str">
        <f>IF(ISNUMBER(D43),Inscription!$J$7,"")</f>
        <v/>
      </c>
      <c r="J43" s="6"/>
    </row>
    <row r="44" spans="2:10" ht="31.5" customHeight="1">
      <c r="B44" s="5"/>
      <c r="C44" s="63" t="str">
        <f t="shared" si="0"/>
        <v/>
      </c>
      <c r="D44" s="136" t="str">
        <f>IF(ISNUMBER(D43),IF((Inscription!$D$15-D43)=0,"",D43+1),"")</f>
        <v/>
      </c>
      <c r="E44" s="136"/>
      <c r="F44" s="136"/>
      <c r="G44" s="136"/>
      <c r="H44" s="66" t="str">
        <f>IF(ISNUMBER(D44),Inscription!$J$7,"")</f>
        <v/>
      </c>
      <c r="J44" s="6"/>
    </row>
    <row r="45" spans="2:10" ht="31.5" customHeight="1">
      <c r="B45" s="5"/>
      <c r="C45" s="63" t="str">
        <f t="shared" si="0"/>
        <v/>
      </c>
      <c r="D45" s="136" t="str">
        <f>IF(ISNUMBER(D44),IF((Inscription!$D$15-D44)=0,"",D44+1),"")</f>
        <v/>
      </c>
      <c r="E45" s="136"/>
      <c r="F45" s="136"/>
      <c r="G45" s="136"/>
      <c r="H45" s="66" t="str">
        <f>IF(ISNUMBER(D45),Inscription!$J$7,"")</f>
        <v/>
      </c>
      <c r="J45" s="6"/>
    </row>
    <row r="46" spans="2:10" ht="31.5" customHeight="1">
      <c r="B46" s="5"/>
      <c r="C46" s="63" t="str">
        <f t="shared" si="0"/>
        <v/>
      </c>
      <c r="D46" s="136" t="str">
        <f>IF(ISNUMBER(D45),IF((Inscription!$D$15-D45)=0,"",D45+1),"")</f>
        <v/>
      </c>
      <c r="E46" s="136"/>
      <c r="F46" s="136"/>
      <c r="G46" s="136"/>
      <c r="H46" s="66" t="str">
        <f>IF(ISNUMBER(D46),Inscription!$J$7,"")</f>
        <v/>
      </c>
      <c r="J46" s="6"/>
    </row>
    <row r="47" spans="2:10" ht="31.5" customHeight="1">
      <c r="B47" s="5"/>
      <c r="D47" s="139" t="s">
        <v>203</v>
      </c>
      <c r="E47" s="139"/>
      <c r="F47" s="139"/>
      <c r="G47" s="139"/>
      <c r="H47" s="60">
        <f>SUM(H34:H46)</f>
        <v>360</v>
      </c>
      <c r="J47" s="6"/>
    </row>
    <row r="48" spans="2:10">
      <c r="B48" s="5"/>
      <c r="J48" s="6"/>
    </row>
    <row r="49" spans="2:10">
      <c r="B49" s="5"/>
      <c r="J49" s="6"/>
    </row>
    <row r="50" spans="2:10">
      <c r="B50" s="5"/>
      <c r="J50" s="6"/>
    </row>
    <row r="51" spans="2:10">
      <c r="B51" s="5"/>
      <c r="J51" s="6"/>
    </row>
    <row r="52" spans="2:10" ht="25.5">
      <c r="B52" s="5"/>
      <c r="C52" s="16"/>
      <c r="D52" s="16"/>
      <c r="E52" s="16"/>
      <c r="F52" s="16"/>
      <c r="G52" s="16"/>
      <c r="H52" s="16"/>
      <c r="J52" s="6"/>
    </row>
    <row r="53" spans="2:10" ht="25.5">
      <c r="B53" s="5"/>
      <c r="C53" s="16"/>
      <c r="D53" s="16"/>
      <c r="E53" s="16"/>
      <c r="F53" s="16"/>
      <c r="G53" s="16"/>
      <c r="H53" s="16"/>
      <c r="J53" s="6"/>
    </row>
    <row r="54" spans="2:10" ht="15" customHeight="1">
      <c r="B54" s="5"/>
      <c r="D54" s="56"/>
      <c r="E54" s="56"/>
      <c r="F54" s="56"/>
      <c r="G54" s="56"/>
      <c r="H54" s="56"/>
      <c r="J54" s="6"/>
    </row>
    <row r="55" spans="2:10" ht="15" customHeight="1">
      <c r="B55" s="5"/>
      <c r="C55" s="137" t="s">
        <v>204</v>
      </c>
      <c r="D55" s="137"/>
      <c r="E55" s="137"/>
      <c r="F55" s="137"/>
      <c r="G55" s="137"/>
      <c r="H55" s="137"/>
      <c r="J55" s="6"/>
    </row>
    <row r="56" spans="2:10" ht="15" customHeight="1">
      <c r="B56" s="5"/>
      <c r="C56" s="137"/>
      <c r="D56" s="137"/>
      <c r="E56" s="137"/>
      <c r="F56" s="137"/>
      <c r="G56" s="137"/>
      <c r="H56" s="137"/>
      <c r="J56" s="6"/>
    </row>
    <row r="57" spans="2:10">
      <c r="B57" s="5"/>
      <c r="C57" s="129" t="s">
        <v>205</v>
      </c>
      <c r="D57" s="129"/>
      <c r="E57" s="129"/>
      <c r="F57" s="129"/>
      <c r="G57" s="129"/>
      <c r="H57" s="129"/>
      <c r="J57" s="6"/>
    </row>
    <row r="58" spans="2:10">
      <c r="B58" s="5"/>
      <c r="C58" s="129"/>
      <c r="D58" s="129"/>
      <c r="E58" s="129"/>
      <c r="F58" s="129"/>
      <c r="G58" s="129"/>
      <c r="H58" s="129"/>
      <c r="J58" s="6"/>
    </row>
    <row r="59" spans="2:10">
      <c r="B59" s="5"/>
      <c r="C59" s="129" t="s">
        <v>206</v>
      </c>
      <c r="D59" s="129"/>
      <c r="E59" s="129"/>
      <c r="F59" s="129"/>
      <c r="G59" s="129"/>
      <c r="H59" s="129"/>
      <c r="J59" s="6"/>
    </row>
    <row r="60" spans="2:10">
      <c r="B60" s="5"/>
      <c r="C60" s="129"/>
      <c r="D60" s="129"/>
      <c r="E60" s="129"/>
      <c r="F60" s="129"/>
      <c r="G60" s="129"/>
      <c r="H60" s="129"/>
      <c r="J60" s="6"/>
    </row>
    <row r="61" spans="2:10">
      <c r="B61" s="5"/>
      <c r="C61" s="129" t="s">
        <v>207</v>
      </c>
      <c r="D61" s="129"/>
      <c r="E61" s="129"/>
      <c r="F61" s="129"/>
      <c r="G61" s="129"/>
      <c r="H61" s="129"/>
      <c r="J61" s="6"/>
    </row>
    <row r="62" spans="2:10">
      <c r="B62" s="5"/>
      <c r="C62" s="129"/>
      <c r="D62" s="129"/>
      <c r="E62" s="129"/>
      <c r="F62" s="129"/>
      <c r="G62" s="129"/>
      <c r="H62" s="129"/>
      <c r="J62" s="6"/>
    </row>
    <row r="63" spans="2:10" ht="25.5">
      <c r="B63" s="5"/>
      <c r="C63" s="57"/>
      <c r="D63" s="57"/>
      <c r="E63" s="57"/>
      <c r="F63" s="57"/>
      <c r="G63" s="57"/>
      <c r="H63" s="57"/>
      <c r="J63" s="6"/>
    </row>
    <row r="64" spans="2:10" ht="15" customHeight="1">
      <c r="B64" s="5"/>
      <c r="C64" s="138" t="s">
        <v>208</v>
      </c>
      <c r="D64" s="138"/>
      <c r="E64" s="138"/>
      <c r="F64" s="138"/>
      <c r="G64" s="138"/>
      <c r="H64" s="138"/>
      <c r="J64" s="6"/>
    </row>
    <row r="65" spans="2:10" ht="15" customHeight="1">
      <c r="B65" s="5"/>
      <c r="C65" s="138"/>
      <c r="D65" s="138"/>
      <c r="E65" s="138"/>
      <c r="F65" s="138"/>
      <c r="G65" s="138"/>
      <c r="H65" s="138"/>
      <c r="J65" s="6"/>
    </row>
    <row r="66" spans="2:10" ht="15" customHeight="1">
      <c r="B66" s="5"/>
      <c r="C66" s="58"/>
      <c r="D66" s="58"/>
      <c r="E66" s="58"/>
      <c r="F66" s="58"/>
      <c r="G66" s="58"/>
      <c r="H66" s="58"/>
      <c r="J66" s="6"/>
    </row>
    <row r="67" spans="2:10" ht="26.25" customHeight="1">
      <c r="B67" s="5"/>
      <c r="C67" s="128" t="s">
        <v>209</v>
      </c>
      <c r="D67" s="128"/>
      <c r="E67" s="128"/>
      <c r="F67" s="57"/>
      <c r="G67" s="57"/>
      <c r="H67" s="57"/>
      <c r="J67" s="6"/>
    </row>
    <row r="68" spans="2:10" ht="15" customHeight="1">
      <c r="B68" s="5"/>
      <c r="C68" s="128"/>
      <c r="D68" s="128"/>
      <c r="E68" s="128"/>
      <c r="F68" s="57"/>
      <c r="G68" s="57"/>
      <c r="H68" s="57"/>
      <c r="J68" s="6"/>
    </row>
    <row r="69" spans="2:10" ht="15" customHeight="1">
      <c r="B69" s="5"/>
      <c r="C69" s="128"/>
      <c r="D69" s="128"/>
      <c r="E69" s="128"/>
      <c r="F69" s="57"/>
      <c r="G69" s="57"/>
      <c r="H69" s="57"/>
      <c r="J69" s="6"/>
    </row>
    <row r="70" spans="2:10">
      <c r="B70" s="5"/>
      <c r="J70" s="6"/>
    </row>
    <row r="71" spans="2:10">
      <c r="B71" s="7"/>
      <c r="C71" s="8"/>
      <c r="D71" s="8"/>
      <c r="E71" s="8"/>
      <c r="F71" s="8"/>
      <c r="G71" s="8"/>
      <c r="H71" s="8"/>
      <c r="I71" s="8"/>
      <c r="J71" s="9"/>
    </row>
  </sheetData>
  <sheetProtection sheet="1" objects="1" scenarios="1"/>
  <mergeCells count="33">
    <mergeCell ref="C55:H56"/>
    <mergeCell ref="C59:H60"/>
    <mergeCell ref="C57:H58"/>
    <mergeCell ref="C64:H65"/>
    <mergeCell ref="D40:G40"/>
    <mergeCell ref="D41:G41"/>
    <mergeCell ref="D42:G42"/>
    <mergeCell ref="D43:G43"/>
    <mergeCell ref="D44:G44"/>
    <mergeCell ref="D45:G45"/>
    <mergeCell ref="D46:G46"/>
    <mergeCell ref="D47:G47"/>
    <mergeCell ref="C67:E69"/>
    <mergeCell ref="C61:H62"/>
    <mergeCell ref="C10:H11"/>
    <mergeCell ref="C12:H13"/>
    <mergeCell ref="C14:H15"/>
    <mergeCell ref="C16:H17"/>
    <mergeCell ref="C22:H23"/>
    <mergeCell ref="C20:H21"/>
    <mergeCell ref="C24:H25"/>
    <mergeCell ref="C28:H29"/>
    <mergeCell ref="C30:H31"/>
    <mergeCell ref="D35:G35"/>
    <mergeCell ref="D36:G36"/>
    <mergeCell ref="D37:G37"/>
    <mergeCell ref="D38:G38"/>
    <mergeCell ref="D39:G39"/>
    <mergeCell ref="C8:G8"/>
    <mergeCell ref="G18:H19"/>
    <mergeCell ref="A1:K2"/>
    <mergeCell ref="D34:G34"/>
    <mergeCell ref="D33:G33"/>
  </mergeCells>
  <printOptions horizontalCentered="1" verticalCentered="1"/>
  <pageMargins left="0.7" right="0.7" top="0.75" bottom="0.75" header="0.3" footer="0.3"/>
  <pageSetup paperSize="9" scale="5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17F15-AE11-4371-BFA3-CEA0FB6324E7}">
  <sheetPr codeName="Feuil7"/>
  <dimension ref="B1:L13"/>
  <sheetViews>
    <sheetView showGridLines="0" workbookViewId="0">
      <selection activeCell="I30" sqref="I30"/>
    </sheetView>
  </sheetViews>
  <sheetFormatPr defaultColWidth="9" defaultRowHeight="14.25"/>
  <cols>
    <col min="2" max="2" width="36.5703125" bestFit="1" customWidth="1"/>
    <col min="3" max="3" width="12.5703125" bestFit="1" customWidth="1"/>
    <col min="4" max="4" width="8.85546875" bestFit="1" customWidth="1"/>
    <col min="5" max="5" width="7.28515625" bestFit="1" customWidth="1"/>
    <col min="6" max="6" width="9.28515625" bestFit="1" customWidth="1"/>
  </cols>
  <sheetData>
    <row r="1" spans="2:12">
      <c r="B1" s="13"/>
    </row>
    <row r="2" spans="2:12" ht="15" customHeight="1">
      <c r="C2" s="140" t="s">
        <v>210</v>
      </c>
      <c r="D2" s="141"/>
      <c r="E2" s="141"/>
      <c r="F2" s="141"/>
      <c r="G2" s="141"/>
      <c r="H2" s="141"/>
      <c r="I2" s="141"/>
      <c r="J2" s="141"/>
      <c r="K2" s="141"/>
      <c r="L2" s="142"/>
    </row>
    <row r="3" spans="2:12" ht="15" customHeight="1">
      <c r="C3" s="143"/>
      <c r="D3" s="144"/>
      <c r="E3" s="144"/>
      <c r="F3" s="144"/>
      <c r="G3" s="144"/>
      <c r="H3" s="144"/>
      <c r="I3" s="144"/>
      <c r="J3" s="144"/>
      <c r="K3" s="144"/>
      <c r="L3" s="145"/>
    </row>
    <row r="7" spans="2:12">
      <c r="B7" s="12" t="s">
        <v>211</v>
      </c>
      <c r="D7" s="12" t="s">
        <v>7</v>
      </c>
    </row>
    <row r="8" spans="2:12">
      <c r="B8" s="12" t="s">
        <v>5</v>
      </c>
      <c r="C8" s="12" t="s">
        <v>6</v>
      </c>
      <c r="D8" t="s">
        <v>27</v>
      </c>
      <c r="E8" t="s">
        <v>21</v>
      </c>
      <c r="F8" t="s">
        <v>212</v>
      </c>
    </row>
    <row r="9" spans="2:12">
      <c r="B9" t="s">
        <v>19</v>
      </c>
      <c r="C9" t="s">
        <v>20</v>
      </c>
      <c r="D9">
        <v>6</v>
      </c>
      <c r="E9">
        <v>5</v>
      </c>
      <c r="F9">
        <v>11</v>
      </c>
    </row>
    <row r="10" spans="2:12">
      <c r="C10" t="s">
        <v>42</v>
      </c>
      <c r="D10">
        <v>8</v>
      </c>
      <c r="E10">
        <v>12</v>
      </c>
      <c r="F10">
        <v>20</v>
      </c>
    </row>
    <row r="11" spans="2:12">
      <c r="B11" t="s">
        <v>213</v>
      </c>
      <c r="D11">
        <v>14</v>
      </c>
      <c r="E11">
        <v>17</v>
      </c>
      <c r="F11">
        <v>31</v>
      </c>
    </row>
    <row r="12" spans="2:12">
      <c r="B12" t="s">
        <v>41</v>
      </c>
      <c r="D12">
        <v>14</v>
      </c>
      <c r="E12">
        <v>14</v>
      </c>
      <c r="F12">
        <v>28</v>
      </c>
    </row>
    <row r="13" spans="2:12">
      <c r="B13" t="s">
        <v>212</v>
      </c>
      <c r="D13">
        <v>28</v>
      </c>
      <c r="E13">
        <v>31</v>
      </c>
      <c r="F13">
        <v>59</v>
      </c>
    </row>
  </sheetData>
  <sheetProtection sheet="1" objects="1" scenarios="1" pivotTables="0"/>
  <mergeCells count="1">
    <mergeCell ref="C2:L3"/>
  </mergeCells>
  <pageMargins left="0.7" right="0.7" top="0.75" bottom="0.75" header="0.3" footer="0.3"/>
  <pageSetup paperSize="9"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48CA9-4EF9-40F6-A46A-80175DB7019B}">
  <sheetPr codeName="Feuil8"/>
  <dimension ref="A1"/>
  <sheetViews>
    <sheetView workbookViewId="0">
      <selection activeCell="D6" sqref="A2:D6"/>
    </sheetView>
  </sheetViews>
  <sheetFormatPr defaultColWidth="9" defaultRowHeight="14.25"/>
  <cols>
    <col min="1" max="1" width="15.7109375" bestFit="1" customWidth="1"/>
    <col min="2" max="2" width="8.85546875" bestFit="1" customWidth="1"/>
    <col min="3" max="3" width="7.28515625" bestFit="1" customWidth="1"/>
    <col min="4" max="4" width="11.42578125" bestFit="1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3EF3A-4AFF-4E0B-974C-962E09C45FAA}">
  <sheetPr codeName="Feuil9"/>
  <dimension ref="A2:B5"/>
  <sheetViews>
    <sheetView workbookViewId="0"/>
  </sheetViews>
  <sheetFormatPr defaultColWidth="9" defaultRowHeight="14.25"/>
  <cols>
    <col min="1" max="1" width="11.42578125" bestFit="1" customWidth="1"/>
    <col min="2" max="3" width="14.42578125" bestFit="1" customWidth="1"/>
  </cols>
  <sheetData>
    <row r="2" spans="1:2">
      <c r="A2" s="12" t="s">
        <v>5</v>
      </c>
      <c r="B2" t="s">
        <v>193</v>
      </c>
    </row>
    <row r="3" spans="1:2">
      <c r="A3" t="s">
        <v>19</v>
      </c>
      <c r="B3" s="10">
        <v>10580</v>
      </c>
    </row>
    <row r="4" spans="1:2">
      <c r="A4" t="s">
        <v>41</v>
      </c>
      <c r="B4" s="10">
        <v>8030</v>
      </c>
    </row>
    <row r="5" spans="1:2">
      <c r="A5" t="s">
        <v>194</v>
      </c>
      <c r="B5" s="10">
        <v>18610</v>
      </c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xmlns="" id="ms-officescript%3A%2F%2Fonedrive_business_itemlink%2F01DJENCT3M7OMKDHS2XREIGR532DHUATQ4:ms-officescript%3A%2F%2Fonedrive_business_sharinglink%2Fu!aHR0cHM6Ly91Y2Fmci1teS5zaGFyZXBvaW50LmNvbS86dTovZy9wZXJzb25hbC9lbnpvX2Nhc2Fub3ZhX2V0dV91Y2FfZnIvRVd6N21LR2VXcnhJZzBlNzBNOUFUaHdCRzJDR25OQk5BTDNhNWlWU0swcWVTZw"/>
  <scriptId xmlns="" id="ms-officescript%3A%2F%2Fonedrive_business_itemlink%2F01DJENCT7HUJSJZAWXERBL26CVT274WJYE:ms-officescript%3A%2F%2Fonedrive_business_sharinglink%2Fu!aHR0cHM6Ly91Y2Fmci1teS5zaGFyZXBvaW50LmNvbS86dTovZy9wZXJzb25hbC9lbnpvX2Nhc2Fub3ZhX2V0dV91Y2FfZnIvRWVlaVpKeUMxeVJDdlhoVm5yX0xKd1FCeWY1WUhUeWs3Q3hFV1JpSHdLSE92dw"/>
</scriptIds>
</file>

<file path=customXml/itemProps1.xml><?xml version="1.0" encoding="utf-8"?>
<ds:datastoreItem xmlns:ds="http://schemas.openxmlformats.org/officeDocument/2006/customXml" ds:itemID="{1600B990-2FAF-4502-BC70-DF8BEDBD8AA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Enzo CASANOVA</dc:creator>
  <cp:keywords/>
  <dc:description/>
  <cp:lastModifiedBy/>
  <cp:revision/>
  <dcterms:created xsi:type="dcterms:W3CDTF">2025-04-18T08:20:52Z</dcterms:created>
  <dcterms:modified xsi:type="dcterms:W3CDTF">2025-06-19T09:33:22Z</dcterms:modified>
  <cp:category/>
  <cp:contentStatus/>
</cp:coreProperties>
</file>